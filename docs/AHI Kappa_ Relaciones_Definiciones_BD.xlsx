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istorico" sheetId="1" state="visible" r:id="rId3"/>
    <sheet name="Antigua" sheetId="2" state="hidden" r:id="rId4"/>
    <sheet name="Stream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E2" authorId="0">
      <text>
        <r>
          <rPr>
            <sz val="10"/>
            <rFont val="Arial"/>
            <family val="2"/>
          </rPr>
          <t xml:space="preserve">El indice del JSON de OpenSky</t>
        </r>
      </text>
    </comment>
    <comment ref="E17" authorId="0">
      <text>
        <r>
          <rPr>
            <sz val="10"/>
            <rFont val="Arial"/>
            <family val="2"/>
          </rPr>
          <t xml:space="preserve">Posicion dentro del JSON</t>
        </r>
      </text>
    </comment>
  </commentList>
</comments>
</file>

<file path=xl/sharedStrings.xml><?xml version="1.0" encoding="utf-8"?>
<sst xmlns="http://schemas.openxmlformats.org/spreadsheetml/2006/main" count="686" uniqueCount="380">
  <si>
    <t xml:space="preserve">fligths_delay</t>
  </si>
  <si>
    <t xml:space="preserve">Tipo</t>
  </si>
  <si>
    <t xml:space="preserve">Ej</t>
  </si>
  <si>
    <t xml:space="preserve">hist_retraso_vuelos</t>
  </si>
  <si>
    <t xml:space="preserve">Descripcion</t>
  </si>
  <si>
    <t xml:space="preserve">Airline_Name</t>
  </si>
  <si>
    <t xml:space="preserve">TEXT</t>
  </si>
  <si>
    <t xml:space="preserve">JetBlue Airways</t>
  </si>
  <si>
    <t xml:space="preserve">aerolinea</t>
  </si>
  <si>
    <t xml:space="preserve">Nombre de la aerolínea</t>
  </si>
  <si>
    <t xml:space="preserve">Origin_City</t>
  </si>
  <si>
    <t xml:space="preserve">Fort Lauderdale, FL</t>
  </si>
  <si>
    <t xml:space="preserve">ciudad_origen</t>
  </si>
  <si>
    <t xml:space="preserve">Ciudad de origen del vuelo</t>
  </si>
  <si>
    <t xml:space="preserve">Destination_City</t>
  </si>
  <si>
    <t xml:space="preserve">Boston, MA</t>
  </si>
  <si>
    <t xml:space="preserve">ciudad_destino</t>
  </si>
  <si>
    <t xml:space="preserve">Ciudad de destino del vuelo</t>
  </si>
  <si>
    <t xml:space="preserve">Diverted_Flag</t>
  </si>
  <si>
    <t xml:space="preserve">BOOLEAN</t>
  </si>
  <si>
    <t xml:space="preserve">desviado</t>
  </si>
  <si>
    <t xml:space="preserve">Indica si el vuelo fue desviado</t>
  </si>
  <si>
    <t xml:space="preserve">Cancelled_Flag</t>
  </si>
  <si>
    <t xml:space="preserve">cancelado</t>
  </si>
  <si>
    <t xml:space="preserve">Indica si el vuelo fue cancelado</t>
  </si>
  <si>
    <t xml:space="preserve">Cancellation_Code</t>
  </si>
  <si>
    <t xml:space="preserve">Not Cancelled</t>
  </si>
  <si>
    <t xml:space="preserve">codigo_cancelacion</t>
  </si>
  <si>
    <t xml:space="preserve">Código de cancelación si aplica</t>
  </si>
  <si>
    <t xml:space="preserve">Flight_Date</t>
  </si>
  <si>
    <t xml:space="preserve">DATE</t>
  </si>
  <si>
    <t xml:space="preserve">fecha_vuelo</t>
  </si>
  <si>
    <t xml:space="preserve">Fecha del vuelo</t>
  </si>
  <si>
    <t xml:space="preserve">Scheduled_Departure_Time</t>
  </si>
  <si>
    <t xml:space="preserve">HH:MM</t>
  </si>
  <si>
    <t xml:space="preserve">-&gt;</t>
  </si>
  <si>
    <t xml:space="preserve">Añades la fecha delante y un ":00" al final. (Pasa de HH:MM a TIMESTAMP)</t>
  </si>
  <si>
    <t xml:space="preserve">salida_programada</t>
  </si>
  <si>
    <t xml:space="preserve">TIMESTAMP</t>
  </si>
  <si>
    <t xml:space="preserve">Hora de salida programada</t>
  </si>
  <si>
    <t xml:space="preserve">Actual_Departure_Time</t>
  </si>
  <si>
    <t xml:space="preserve">salida_real</t>
  </si>
  <si>
    <t xml:space="preserve">Hora de salida real</t>
  </si>
  <si>
    <t xml:space="preserve">Scheduled_Arrival_Time</t>
  </si>
  <si>
    <t xml:space="preserve">llegada_programada</t>
  </si>
  <si>
    <t xml:space="preserve">Hora de llegada programada</t>
  </si>
  <si>
    <t xml:space="preserve">Actual_Arrival_Time</t>
  </si>
  <si>
    <t xml:space="preserve">llegada_real</t>
  </si>
  <si>
    <t xml:space="preserve">Hora de llegada real</t>
  </si>
  <si>
    <t xml:space="preserve">Departure_Delay_Minutes</t>
  </si>
  <si>
    <t xml:space="preserve">INT</t>
  </si>
  <si>
    <t xml:space="preserve">retraso_salida</t>
  </si>
  <si>
    <t xml:space="preserve">Retraso en salida (minutos)</t>
  </si>
  <si>
    <t xml:space="preserve">Arrival_Delay_Minutes</t>
  </si>
  <si>
    <t xml:space="preserve">retraso_llegada</t>
  </si>
  <si>
    <t xml:space="preserve">Retraso en llegada (minutos)</t>
  </si>
  <si>
    <t xml:space="preserve">Scheduled_Elapsed_Time_Minutes</t>
  </si>
  <si>
    <t xml:space="preserve">tiempo_programado_vuelo</t>
  </si>
  <si>
    <t xml:space="preserve">Tiempo programado de vuelo (minutos)</t>
  </si>
  <si>
    <t xml:space="preserve">Actual_Elapsed_Time_Minutes</t>
  </si>
  <si>
    <t xml:space="preserve">tiempo_real_vuelo</t>
  </si>
  <si>
    <t xml:space="preserve">Tiempo real de vuelo (minutos)</t>
  </si>
  <si>
    <t xml:space="preserve">Weather_Delay_HH_MM</t>
  </si>
  <si>
    <t xml:space="preserve">4:44</t>
  </si>
  <si>
    <t xml:space="preserve">Pasas del sistema h:min a solo min, multiplicando las horas por 60 y sumando con los min. (Pasa de TEXT a FLOAT)</t>
  </si>
  <si>
    <t xml:space="preserve">retraso_clima</t>
  </si>
  <si>
    <t xml:space="preserve">FLOAT</t>
  </si>
  <si>
    <t xml:space="preserve">284.0</t>
  </si>
  <si>
    <t xml:space="preserve">Retraso por meteorologia (minutos)</t>
  </si>
  <si>
    <t xml:space="preserve">NAS_Delay_HH_MM</t>
  </si>
  <si>
    <t xml:space="preserve">1:04</t>
  </si>
  <si>
    <t xml:space="preserve">retraso_nas</t>
  </si>
  <si>
    <t xml:space="preserve">64.0</t>
  </si>
  <si>
    <t xml:space="preserve">Retraso por el sistema de control aéreo naciona (minutos)</t>
  </si>
  <si>
    <t xml:space="preserve">Carrier_Delay_HH_MM</t>
  </si>
  <si>
    <t xml:space="preserve">2:04</t>
  </si>
  <si>
    <t xml:space="preserve">retraso_aerolinea</t>
  </si>
  <si>
    <t xml:space="preserve">124.0</t>
  </si>
  <si>
    <t xml:space="preserve">Retraso por la aerolínea (minutos)</t>
  </si>
  <si>
    <t xml:space="preserve">Late_Aircraft_Delay_HH_MM</t>
  </si>
  <si>
    <t xml:space="preserve">3:37</t>
  </si>
  <si>
    <t xml:space="preserve">retraso_aeronave_tardia</t>
  </si>
  <si>
    <t xml:space="preserve">217.0</t>
  </si>
  <si>
    <t xml:space="preserve">Retraso por llegada tardía de la aeronave anterior (minutos)</t>
  </si>
  <si>
    <t xml:space="preserve">Security_Delay_HH_MM</t>
  </si>
  <si>
    <t xml:space="preserve">1:38</t>
  </si>
  <si>
    <t xml:space="preserve">retraso_seguridad</t>
  </si>
  <si>
    <t xml:space="preserve">98.0</t>
  </si>
  <si>
    <t xml:space="preserve">Retraso por seguridad (minutos)</t>
  </si>
  <si>
    <t xml:space="preserve">delays_history_agg</t>
  </si>
  <si>
    <t xml:space="preserve">hist_retraso_mes</t>
  </si>
  <si>
    <t xml:space="preserve">year</t>
  </si>
  <si>
    <t xml:space="preserve">Juntar las columnas en una</t>
  </si>
  <si>
    <t xml:space="preserve">fecha</t>
  </si>
  <si>
    <t xml:space="preserve">Año y Mes del registro (el dia es obligado, no contemplarlo)</t>
  </si>
  <si>
    <t xml:space="preserve">month</t>
  </si>
  <si>
    <t xml:space="preserve">airport</t>
  </si>
  <si>
    <t xml:space="preserve">ABE</t>
  </si>
  <si>
    <t xml:space="preserve">codigo_aeropuerto</t>
  </si>
  <si>
    <t xml:space="preserve">Código de aeropuerto</t>
  </si>
  <si>
    <t xml:space="preserve">airport_name</t>
  </si>
  <si>
    <t xml:space="preserve">Allentown/Bethlehem/Easton, PA: Lehigh Valley International</t>
  </si>
  <si>
    <t xml:space="preserve">aeropuerto</t>
  </si>
  <si>
    <t xml:space="preserve">Nombre del aeropuerto</t>
  </si>
  <si>
    <t xml:space="preserve">carrier</t>
  </si>
  <si>
    <t xml:space="preserve">9E</t>
  </si>
  <si>
    <t xml:space="preserve">codigo_aerolinea</t>
  </si>
  <si>
    <t xml:space="preserve">Código de la aerolínea</t>
  </si>
  <si>
    <t xml:space="preserve">carrier_name</t>
  </si>
  <si>
    <t xml:space="preserve">Endeavor Air Inc.</t>
  </si>
  <si>
    <t xml:space="preserve">arr_flights</t>
  </si>
  <si>
    <t xml:space="preserve">89.0</t>
  </si>
  <si>
    <t xml:space="preserve">vuelos_llegados</t>
  </si>
  <si>
    <t xml:space="preserve">Número mensual de vuelos llegados</t>
  </si>
  <si>
    <t xml:space="preserve">arr_del15</t>
  </si>
  <si>
    <t xml:space="preserve">13.0</t>
  </si>
  <si>
    <t xml:space="preserve">vuelos_retraso_15min</t>
  </si>
  <si>
    <t xml:space="preserve">Número mensual de vuelos con retraso &gt; 15 min</t>
  </si>
  <si>
    <t xml:space="preserve">arr_diverted</t>
  </si>
  <si>
    <t xml:space="preserve">1.0</t>
  </si>
  <si>
    <t xml:space="preserve">vuelos_desviados</t>
  </si>
  <si>
    <t xml:space="preserve">Número mensual de vuelos desviados</t>
  </si>
  <si>
    <t xml:space="preserve">arr_cancelled</t>
  </si>
  <si>
    <t xml:space="preserve">2.0</t>
  </si>
  <si>
    <t xml:space="preserve">vuelos_cancelados</t>
  </si>
  <si>
    <t xml:space="preserve">Número mensual de vuelos cancelados</t>
  </si>
  <si>
    <t xml:space="preserve">weather_delay</t>
  </si>
  <si>
    <t xml:space="preserve">761.0</t>
  </si>
  <si>
    <t xml:space="preserve">retrasos_clima</t>
  </si>
  <si>
    <t xml:space="preserve">Retrasos mensuales por meteorologia (minutos)</t>
  </si>
  <si>
    <t xml:space="preserve">nas_delay</t>
  </si>
  <si>
    <t xml:space="preserve">118.0</t>
  </si>
  <si>
    <t xml:space="preserve">retrasos_nas</t>
  </si>
  <si>
    <t xml:space="preserve">Retrasos mensuales por el sistema de control aéreo naciona (minutos)</t>
  </si>
  <si>
    <t xml:space="preserve">carrier_delay</t>
  </si>
  <si>
    <t xml:space="preserve">71.0</t>
  </si>
  <si>
    <t xml:space="preserve">retrasos_aerolinea</t>
  </si>
  <si>
    <t xml:space="preserve">Retrasos mensuales por la aerolínea (minutos)</t>
  </si>
  <si>
    <t xml:space="preserve">late_aircraft_delay</t>
  </si>
  <si>
    <t xml:space="preserve">425.0</t>
  </si>
  <si>
    <t xml:space="preserve">retrasos_aeronave_tardia</t>
  </si>
  <si>
    <t xml:space="preserve">Retrasos mensuales por llegada tardía de la aeronave anterior (minutos)</t>
  </si>
  <si>
    <t xml:space="preserve">security_delay</t>
  </si>
  <si>
    <t xml:space="preserve">0.0</t>
  </si>
  <si>
    <t xml:space="preserve">retrasos_seguridad</t>
  </si>
  <si>
    <t xml:space="preserve">Retrasos mensuales por seguridad (minutos)</t>
  </si>
  <si>
    <t xml:space="preserve">arr_delay</t>
  </si>
  <si>
    <t xml:space="preserve">1375.0</t>
  </si>
  <si>
    <t xml:space="preserve">total_retrasos</t>
  </si>
  <si>
    <t xml:space="preserve">Total de minutos mensuales de retraso (minutos)</t>
  </si>
  <si>
    <t xml:space="preserve">avg_arr_delay_min</t>
  </si>
  <si>
    <t xml:space="preserve">15.44943820224719</t>
  </si>
  <si>
    <t xml:space="preserve">retraso_promedio_llegada</t>
  </si>
  <si>
    <t xml:space="preserve">Retraso promedio de llegada (minutos)</t>
  </si>
  <si>
    <t xml:space="preserve">pct_arr_del15</t>
  </si>
  <si>
    <t xml:space="preserve">0.14606741573033707</t>
  </si>
  <si>
    <t xml:space="preserve">pct_vuelos_retraso_15min</t>
  </si>
  <si>
    <t xml:space="preserve">Porcentaje (%) de vuelos con retraso &gt; 15 min</t>
  </si>
  <si>
    <t xml:space="preserve">delays_history_sample</t>
  </si>
  <si>
    <t xml:space="preserve">hist_retraso_vuelos_muestra</t>
  </si>
  <si>
    <t xml:space="preserve">flight_id</t>
  </si>
  <si>
    <t xml:space="preserve">G4020_TUL_20238</t>
  </si>
  <si>
    <t xml:space="preserve">id_vuelo</t>
  </si>
  <si>
    <t xml:space="preserve">Identificador único del vuelo</t>
  </si>
  <si>
    <t xml:space="preserve">origin_airport</t>
  </si>
  <si>
    <t xml:space="preserve">TUL</t>
  </si>
  <si>
    <t xml:space="preserve">codigo_aeropuerto_origen</t>
  </si>
  <si>
    <t xml:space="preserve">Aeropuerto de origen</t>
  </si>
  <si>
    <t xml:space="preserve">dest_airport</t>
  </si>
  <si>
    <t xml:space="preserve">XXX</t>
  </si>
  <si>
    <t xml:space="preserve">codigo_aeropuerto_destino</t>
  </si>
  <si>
    <t xml:space="preserve">Aeropuerto de destino</t>
  </si>
  <si>
    <t xml:space="preserve">airline</t>
  </si>
  <si>
    <t xml:space="preserve">Allegiant Air</t>
  </si>
  <si>
    <t xml:space="preserve">flight_date</t>
  </si>
  <si>
    <t xml:space="preserve">scheduled_departure</t>
  </si>
  <si>
    <t xml:space="preserve">actual_departure</t>
  </si>
  <si>
    <t xml:space="preserve">scheduled_arrival</t>
  </si>
  <si>
    <t xml:space="preserve">actual_arrival</t>
  </si>
  <si>
    <t xml:space="preserve">departure_delay_min</t>
  </si>
  <si>
    <t xml:space="preserve">arrival_delay_min</t>
  </si>
  <si>
    <t xml:space="preserve">delay_cause</t>
  </si>
  <si>
    <t xml:space="preserve">WEATHER</t>
  </si>
  <si>
    <t xml:space="preserve">causa_retraso</t>
  </si>
  <si>
    <t xml:space="preserve">Causa principal del retraso</t>
  </si>
  <si>
    <t xml:space="preserve">weather_history</t>
  </si>
  <si>
    <t xml:space="preserve">hist_estaciones_m</t>
  </si>
  <si>
    <t xml:space="preserve">STATION</t>
  </si>
  <si>
    <t xml:space="preserve">AAI0000TNCA</t>
  </si>
  <si>
    <t xml:space="preserve">estacion_m</t>
  </si>
  <si>
    <t xml:space="preserve">Código de estación meteorológica</t>
  </si>
  <si>
    <t xml:space="preserve">fecha_medicion</t>
  </si>
  <si>
    <t xml:space="preserve">Fecha y hora de la medición</t>
  </si>
  <si>
    <t xml:space="preserve">NAME</t>
  </si>
  <si>
    <t xml:space="preserve">nombre_estacion_m</t>
  </si>
  <si>
    <t xml:space="preserve">Nombre o identificación de la estación</t>
  </si>
  <si>
    <t xml:space="preserve">LATITUDE</t>
  </si>
  <si>
    <t xml:space="preserve">lat</t>
  </si>
  <si>
    <t xml:space="preserve">Latitud de la estación</t>
  </si>
  <si>
    <t xml:space="preserve">LONGITUDE</t>
  </si>
  <si>
    <t xml:space="preserve">lon</t>
  </si>
  <si>
    <t xml:space="preserve">Longitud de la estación</t>
  </si>
  <si>
    <t xml:space="preserve">ELEVATION</t>
  </si>
  <si>
    <t xml:space="preserve">elev</t>
  </si>
  <si>
    <t xml:space="preserve">Elevación sobre el nivel del mar</t>
  </si>
  <si>
    <t xml:space="preserve">HourlyAltimeterSetting</t>
  </si>
  <si>
    <t xml:space="preserve">1014.0</t>
  </si>
  <si>
    <t xml:space="preserve">ajuste_barometrico</t>
  </si>
  <si>
    <t xml:space="preserve">Ajuste barométrico (Horario)</t>
  </si>
  <si>
    <t xml:space="preserve">HourlyDewPointTemperature</t>
  </si>
  <si>
    <t xml:space="preserve">22.0</t>
  </si>
  <si>
    <t xml:space="preserve">temp_punto_rocio</t>
  </si>
  <si>
    <t xml:space="preserve">Temperatura de punto de rocío (Horario)</t>
  </si>
  <si>
    <t xml:space="preserve">HourlyDryBulbTemperature</t>
  </si>
  <si>
    <t xml:space="preserve">33.0</t>
  </si>
  <si>
    <t xml:space="preserve">temp_ambiente</t>
  </si>
  <si>
    <t xml:space="preserve">Temperatura ambiente (Horario)</t>
  </si>
  <si>
    <t xml:space="preserve">HourlyPrecipitation</t>
  </si>
  <si>
    <t xml:space="preserve">precipitacion</t>
  </si>
  <si>
    <t xml:space="preserve">Precipitación horaria (Horario)</t>
  </si>
  <si>
    <t xml:space="preserve">HourlyPresentWeatherType</t>
  </si>
  <si>
    <t xml:space="preserve">tipo_condicion_climatica</t>
  </si>
  <si>
    <t xml:space="preserve">Tipo de condición meteorológica (Horario)</t>
  </si>
  <si>
    <t xml:space="preserve">HourlyPressureChange</t>
  </si>
  <si>
    <t xml:space="preserve">0.7</t>
  </si>
  <si>
    <t xml:space="preserve">cambio_presion_atmosferica</t>
  </si>
  <si>
    <t xml:space="preserve">Cambio de presión atmosférica (Horario)</t>
  </si>
  <si>
    <t xml:space="preserve">HourlyPressureTendency</t>
  </si>
  <si>
    <t xml:space="preserve">9.0</t>
  </si>
  <si>
    <t xml:space="preserve">tendencia_presion</t>
  </si>
  <si>
    <t xml:space="preserve">Tendencia de presión (Horario)</t>
  </si>
  <si>
    <t xml:space="preserve">HourlyRelativeHumidity</t>
  </si>
  <si>
    <t xml:space="preserve">52.0</t>
  </si>
  <si>
    <t xml:space="preserve">humedad_relativa</t>
  </si>
  <si>
    <t xml:space="preserve">Humedad relativa (Horario)</t>
  </si>
  <si>
    <t xml:space="preserve">HourlySkyConditions</t>
  </si>
  <si>
    <t xml:space="preserve">FEW:02 7.62 SCT:03 105.0</t>
  </si>
  <si>
    <t xml:space="preserve">condiciones_cielo</t>
  </si>
  <si>
    <t xml:space="preserve">Condiciones del cielo (Horario)</t>
  </si>
  <si>
    <t xml:space="preserve">HourlySeaLevelPressure</t>
  </si>
  <si>
    <t xml:space="preserve">presion_nivel_mar</t>
  </si>
  <si>
    <t xml:space="preserve">Presión al nivel del mar (Horario)</t>
  </si>
  <si>
    <t xml:space="preserve">HourlyVisibility</t>
  </si>
  <si>
    <t xml:space="preserve">visibilidad</t>
  </si>
  <si>
    <t xml:space="preserve">Visibilidad (Horario)</t>
  </si>
  <si>
    <t xml:space="preserve">HourlyWetBulbTemperature</t>
  </si>
  <si>
    <t xml:space="preserve">temperatura_bulbo_humedo</t>
  </si>
  <si>
    <t xml:space="preserve">Temperatura termómetro de bulbo húmedo (Horario)</t>
  </si>
  <si>
    <t xml:space="preserve">HourlyWindDirection</t>
  </si>
  <si>
    <t xml:space="preserve">110.0</t>
  </si>
  <si>
    <t xml:space="preserve">direccion_viento</t>
  </si>
  <si>
    <t xml:space="preserve">Dirección del viento (Horario)</t>
  </si>
  <si>
    <t xml:space="preserve">HourlyWindGustSpeed</t>
  </si>
  <si>
    <t xml:space="preserve">velocidad_rafaga_viento</t>
  </si>
  <si>
    <t xml:space="preserve">Velocidad máxima de ráfaga de viento (Horario)</t>
  </si>
  <si>
    <t xml:space="preserve">HourlyWindSpeed</t>
  </si>
  <si>
    <t xml:space="preserve">velocidad_viento</t>
  </si>
  <si>
    <t xml:space="preserve">Velocidad del viento (Horario)</t>
  </si>
  <si>
    <t xml:space="preserve">...</t>
  </si>
  <si>
    <t xml:space="preserve">Reduccion de 125 columnas a 21</t>
  </si>
  <si>
    <t xml:space="preserve">Airline_Delay_Cause</t>
  </si>
  <si>
    <t xml:space="preserve">Año del registro</t>
  </si>
  <si>
    <t xml:space="preserve">Mes del registro</t>
  </si>
  <si>
    <t xml:space="preserve">VARCHAR(10)</t>
  </si>
  <si>
    <t xml:space="preserve">Código del aeropuerto</t>
  </si>
  <si>
    <t xml:space="preserve">VARCHAR(255)</t>
  </si>
  <si>
    <t xml:space="preserve">Nombre completo del aeropuerto</t>
  </si>
  <si>
    <t xml:space="preserve">carrier_ct</t>
  </si>
  <si>
    <t xml:space="preserve">% de retrasos atribuibles a la aerolínea</t>
  </si>
  <si>
    <t xml:space="preserve">2.25</t>
  </si>
  <si>
    <t xml:space="preserve">weather_ct</t>
  </si>
  <si>
    <t xml:space="preserve">% de retrasos por condiciones meteorológicas</t>
  </si>
  <si>
    <t xml:space="preserve">1.60</t>
  </si>
  <si>
    <t xml:space="preserve">nas_ct</t>
  </si>
  <si>
    <t xml:space="preserve">% de retrasos por sistema nacional (NAS)</t>
  </si>
  <si>
    <t xml:space="preserve">3.16</t>
  </si>
  <si>
    <t xml:space="preserve">security_ct</t>
  </si>
  <si>
    <t xml:space="preserve">% de retrasos por seguridad</t>
  </si>
  <si>
    <t xml:space="preserve">0.00</t>
  </si>
  <si>
    <t xml:space="preserve">late_aircraft_ct</t>
  </si>
  <si>
    <t xml:space="preserve">% de retrasos por avión retrasado previamente</t>
  </si>
  <si>
    <t xml:space="preserve">5.99</t>
  </si>
  <si>
    <t xml:space="preserve">Número de vuelos llegados</t>
  </si>
  <si>
    <t xml:space="preserve">89.00</t>
  </si>
  <si>
    <t xml:space="preserve">Número de vuelos con retraso &gt; 15 min</t>
  </si>
  <si>
    <t xml:space="preserve">13.00</t>
  </si>
  <si>
    <t xml:space="preserve">Número de vuelos cancelados</t>
  </si>
  <si>
    <t xml:space="preserve">2.00</t>
  </si>
  <si>
    <t xml:space="preserve">Número de vuelos desviados</t>
  </si>
  <si>
    <t xml:space="preserve">1.00</t>
  </si>
  <si>
    <t xml:space="preserve">Total de minutos de retraso</t>
  </si>
  <si>
    <t xml:space="preserve">1375.00</t>
  </si>
  <si>
    <t xml:space="preserve">Minutos de retraso por aerolínea</t>
  </si>
  <si>
    <t xml:space="preserve">71.00</t>
  </si>
  <si>
    <t xml:space="preserve">Minutos de retraso por clima</t>
  </si>
  <si>
    <t xml:space="preserve">761.00</t>
  </si>
  <si>
    <t xml:space="preserve">Minutos de retraso por NAS</t>
  </si>
  <si>
    <t xml:space="preserve">118.00</t>
  </si>
  <si>
    <t xml:space="preserve">Minutos de retraso por seguridad</t>
  </si>
  <si>
    <t xml:space="preserve">Minutos de retraso por avión retrasado previamente</t>
  </si>
  <si>
    <t xml:space="preserve">425.00</t>
  </si>
  <si>
    <t xml:space="preserve">OpenSky Network</t>
  </si>
  <si>
    <t xml:space="preserve">flights_rt</t>
  </si>
  <si>
    <t xml:space="preserve">Indice</t>
  </si>
  <si>
    <t xml:space="preserve">icao24</t>
  </si>
  <si>
    <t xml:space="preserve">string</t>
  </si>
  <si>
    <t xml:space="preserve">Dirección única de 24 bits del transpondedor, en formato hexadecimal.</t>
  </si>
  <si>
    <t xml:space="preserve">time_position</t>
  </si>
  <si>
    <t xml:space="preserve">int</t>
  </si>
  <si>
    <t xml:space="preserve">Momento del último reporte de posición en UNIX timestamp.</t>
  </si>
  <si>
    <t xml:space="preserve">-&gt; Fecha/Hora (Tipo dato DATE)</t>
  </si>
  <si>
    <t xml:space="preserve">callsign</t>
  </si>
  <si>
    <t xml:space="preserve">Identificador del vuelo (normalmente el código visible en radares).</t>
  </si>
  <si>
    <t xml:space="preserve">origin_country</t>
  </si>
  <si>
    <t xml:space="preserve">País de origen inferido de la dirección ICAO del avión.</t>
  </si>
  <si>
    <t xml:space="preserve">longitude</t>
  </si>
  <si>
    <t xml:space="preserve">float</t>
  </si>
  <si>
    <t xml:space="preserve">Longitud aproximada de la posición actual del avión.</t>
  </si>
  <si>
    <t xml:space="preserve">latitude</t>
  </si>
  <si>
    <t xml:space="preserve">Latitud aproximada de la posición actual del avión.</t>
  </si>
  <si>
    <t xml:space="preserve">baro_altitude</t>
  </si>
  <si>
    <t xml:space="preserve">Altitud barométrica del avión en metros.</t>
  </si>
  <si>
    <t xml:space="preserve">on_ground</t>
  </si>
  <si>
    <t xml:space="preserve">boolean</t>
  </si>
  <si>
    <t xml:space="preserve">Indica si el avión está reportado como en tierra (true / false).</t>
  </si>
  <si>
    <t xml:space="preserve">velocity</t>
  </si>
  <si>
    <t xml:space="preserve">Velocidad sobre el suelo en metros por segundo.</t>
  </si>
  <si>
    <t xml:space="preserve">true_track</t>
  </si>
  <si>
    <t xml:space="preserve">Rumbo del avión en grados, medido desde el norte (0°).</t>
  </si>
  <si>
    <t xml:space="preserve">geo_altitude</t>
  </si>
  <si>
    <t xml:space="preserve">Altitud geométrica actual del avión en metros.</t>
  </si>
  <si>
    <t xml:space="preserve">https://openskynetwork.github.io/opensky-api/rest.html</t>
  </si>
  <si>
    <t xml:space="preserve">OpenWeather</t>
  </si>
  <si>
    <t xml:space="preserve">weather_rt</t>
  </si>
  <si>
    <t xml:space="preserve">Json</t>
  </si>
  <si>
    <t xml:space="preserve">Latitud geográfica del punto donde se toma la medición.</t>
  </si>
  <si>
    <t xml:space="preserve">33.44</t>
  </si>
  <si>
    <t xml:space="preserve">Longitud geográfica del punto donde se toma la medición.</t>
  </si>
  <si>
    <t xml:space="preserve">-94.04</t>
  </si>
  <si>
    <t xml:space="preserve">dt</t>
  </si>
  <si>
    <t xml:space="preserve">INT (UNIX timestamp)</t>
  </si>
  <si>
    <t xml:space="preserve">Momento de la medición en formato UNIX timestamp.</t>
  </si>
  <si>
    <t xml:space="preserve">current</t>
  </si>
  <si>
    <t xml:space="preserve">temp</t>
  </si>
  <si>
    <t xml:space="preserve">FLOAT (Kelvin)</t>
  </si>
  <si>
    <t xml:space="preserve">Temperatura actual en Kelvin.</t>
  </si>
  <si>
    <t xml:space="preserve">292.55</t>
  </si>
  <si>
    <t xml:space="preserve">-&gt; ºC</t>
  </si>
  <si>
    <t xml:space="preserve">humidity</t>
  </si>
  <si>
    <t xml:space="preserve">INT (%)</t>
  </si>
  <si>
    <t xml:space="preserve">Humedad relativa en porcentaje.</t>
  </si>
  <si>
    <t xml:space="preserve">clouds</t>
  </si>
  <si>
    <t xml:space="preserve">Porcentaje de nubosidad en el cielo.</t>
  </si>
  <si>
    <t xml:space="preserve">visibility</t>
  </si>
  <si>
    <t xml:space="preserve">INT (metros)</t>
  </si>
  <si>
    <t xml:space="preserve">Visibilidad horizontal medida en metros.</t>
  </si>
  <si>
    <t xml:space="preserve">wind_speed</t>
  </si>
  <si>
    <t xml:space="preserve">FLOAT (m/s)</t>
  </si>
  <si>
    <t xml:space="preserve">Velocidad del viento en metros por segundo.</t>
  </si>
  <si>
    <t xml:space="preserve">3.13</t>
  </si>
  <si>
    <t xml:space="preserve">wind_deg</t>
  </si>
  <si>
    <t xml:space="preserve">INT (grados)</t>
  </si>
  <si>
    <t xml:space="preserve">Dirección del viento en grados desde el norte (0°).</t>
  </si>
  <si>
    <t xml:space="preserve">wind_gust</t>
  </si>
  <si>
    <t xml:space="preserve">Ráfaga máxima de viento registrada en m/s.</t>
  </si>
  <si>
    <t xml:space="preserve">6.71</t>
  </si>
  <si>
    <t xml:space="preserve">rain_1h</t>
  </si>
  <si>
    <t xml:space="preserve">FLOAT (mm/h) / NULL</t>
  </si>
  <si>
    <t xml:space="preserve">Lluvia acumulada en la última hora, en mm/h.</t>
  </si>
  <si>
    <t xml:space="preserve">snow_1h</t>
  </si>
  <si>
    <t xml:space="preserve">Nieve acumulada en la última hora, en mm/h.</t>
  </si>
  <si>
    <t xml:space="preserve">0.5</t>
  </si>
  <si>
    <t xml:space="preserve">weather_main</t>
  </si>
  <si>
    <t xml:space="preserve">STRING</t>
  </si>
  <si>
    <t xml:space="preserve">Categoría general del clima (ej. Rain, Snow, Clear).</t>
  </si>
  <si>
    <t xml:space="preserve">"Rain"</t>
  </si>
  <si>
    <t xml:space="preserve">weather_description</t>
  </si>
  <si>
    <t xml:space="preserve">Descripción detallada del clima (ej. “light rain”).</t>
  </si>
  <si>
    <t xml:space="preserve">"light rain"</t>
  </si>
  <si>
    <t xml:space="preserve">https://openweathermap.org/api/one-call-3?utm_source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</si>
</sst>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dd/mm/yyyy"/>
    <numFmt numFmtId="167" formatCode="dd\-mm\-yyyy"/>
    <numFmt numFmtId="168" formatCode="h:mm"/>
    <numFmt numFmtId="169" formatCode="dd\-mm\-yyyy\ h:mm:ss"/>
    <numFmt numFmtId="170" formatCode="@"/>
    <numFmt numFmtId="171" formatCode="yyyy\-mm\-dd"/>
    <numFmt numFmtId="172" formatCode="yyyy\-mm\-dd\ h:mm:ss"/>
    <numFmt numFmtId="173" formatCode="d\.m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FF0000"/>
      <name val="Arial"/>
      <family val="0"/>
      <charset val="1"/>
    </font>
    <font>
      <sz val="9"/>
      <color rgb="FF000000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B7B7B7"/>
        <bgColor rgb="FFE6B8AF"/>
      </patternFill>
    </fill>
    <fill>
      <patternFill patternType="solid">
        <fgColor rgb="FF00FFFF"/>
        <bgColor rgb="FF00FFFF"/>
      </patternFill>
    </fill>
    <fill>
      <patternFill patternType="solid">
        <fgColor rgb="FFC9DAF8"/>
        <bgColor rgb="FFD9EAD3"/>
      </patternFill>
    </fill>
    <fill>
      <patternFill patternType="solid">
        <fgColor rgb="FFE6B8AF"/>
        <bgColor rgb="FFF4CCCC"/>
      </patternFill>
    </fill>
    <fill>
      <patternFill patternType="solid">
        <fgColor rgb="FFFFF2CC"/>
        <bgColor rgb="FFEFEFEF"/>
      </patternFill>
    </fill>
    <fill>
      <patternFill patternType="solid">
        <fgColor rgb="FFFFFFFF"/>
        <bgColor rgb="FFEFEFEF"/>
      </patternFill>
    </fill>
    <fill>
      <patternFill patternType="solid">
        <fgColor rgb="FFF4CCCC"/>
        <bgColor rgb="FFE6B8AF"/>
      </patternFill>
    </fill>
    <fill>
      <patternFill patternType="solid">
        <fgColor rgb="FFEA9999"/>
        <bgColor rgb="FFFF8080"/>
      </patternFill>
    </fill>
    <fill>
      <patternFill patternType="solid">
        <fgColor rgb="FFD9EAD3"/>
        <bgColor rgb="FFEFEFEF"/>
      </patternFill>
    </fill>
    <fill>
      <patternFill patternType="solid">
        <fgColor rgb="FFEFEFEF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EA9999"/>
      <rgbColor rgb="FFE6B8A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openskynetwork.github.io/opensky-api/rest.html" TargetMode="External"/><Relationship Id="rId3" Type="http://schemas.openxmlformats.org/officeDocument/2006/relationships/hyperlink" Target="https://openweathermap.org/api/one-call-3?utm_source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" sqref="A14 B3:E13 B18:E31 A32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7.13"/>
    <col collapsed="false" customWidth="true" hidden="false" outlineLevel="0" max="2" min="2" style="0" width="10.63"/>
    <col collapsed="false" customWidth="true" hidden="false" outlineLevel="0" max="3" min="3" style="0" width="21.25"/>
    <col collapsed="false" customWidth="true" hidden="false" outlineLevel="0" max="4" min="4" style="0" width="3.75"/>
    <col collapsed="false" customWidth="true" hidden="false" outlineLevel="0" max="5" min="5" style="0" width="25.75"/>
    <col collapsed="false" customWidth="true" hidden="false" outlineLevel="0" max="6" min="6" style="0" width="3.75"/>
    <col collapsed="false" customWidth="true" hidden="false" outlineLevel="0" max="7" min="7" style="0" width="22.25"/>
    <col collapsed="false" customWidth="true" hidden="false" outlineLevel="0" max="8" min="8" style="0" width="10.63"/>
    <col collapsed="false" customWidth="true" hidden="false" outlineLevel="0" max="9" min="9" style="0" width="21.25"/>
    <col collapsed="false" customWidth="true" hidden="false" outlineLevel="0" max="10" min="10" style="0" width="54.63"/>
    <col collapsed="false" customWidth="true" hidden="false" outlineLevel="0" max="11" min="11" style="0" width="3.7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2"/>
      <c r="E1" s="3"/>
      <c r="F1" s="4"/>
      <c r="G1" s="1" t="s">
        <v>3</v>
      </c>
      <c r="H1" s="1" t="s">
        <v>1</v>
      </c>
      <c r="I1" s="1" t="s">
        <v>2</v>
      </c>
      <c r="J1" s="1" t="s">
        <v>4</v>
      </c>
      <c r="K1" s="4"/>
    </row>
    <row r="2" customFormat="false" ht="15.75" hidden="false" customHeight="true" outlineLevel="0" collapsed="false">
      <c r="A2" s="5" t="s">
        <v>5</v>
      </c>
      <c r="B2" s="5" t="s">
        <v>6</v>
      </c>
      <c r="C2" s="5" t="s">
        <v>7</v>
      </c>
      <c r="E2" s="3"/>
      <c r="F2" s="4"/>
      <c r="G2" s="6" t="s">
        <v>8</v>
      </c>
      <c r="H2" s="6" t="s">
        <v>6</v>
      </c>
      <c r="I2" s="6" t="s">
        <v>7</v>
      </c>
      <c r="J2" s="7" t="s">
        <v>9</v>
      </c>
      <c r="K2" s="4"/>
    </row>
    <row r="3" customFormat="false" ht="15.75" hidden="false" customHeight="false" outlineLevel="0" collapsed="false">
      <c r="A3" s="8" t="s">
        <v>10</v>
      </c>
      <c r="B3" s="8" t="s">
        <v>6</v>
      </c>
      <c r="C3" s="8" t="s">
        <v>11</v>
      </c>
      <c r="F3" s="4"/>
      <c r="G3" s="9" t="s">
        <v>12</v>
      </c>
      <c r="H3" s="9" t="s">
        <v>6</v>
      </c>
      <c r="I3" s="9" t="s">
        <v>11</v>
      </c>
      <c r="J3" s="10" t="s">
        <v>13</v>
      </c>
      <c r="K3" s="4"/>
    </row>
    <row r="4" customFormat="false" ht="15.75" hidden="false" customHeight="false" outlineLevel="0" collapsed="false">
      <c r="A4" s="8" t="s">
        <v>14</v>
      </c>
      <c r="B4" s="8" t="s">
        <v>6</v>
      </c>
      <c r="C4" s="8" t="s">
        <v>15</v>
      </c>
      <c r="F4" s="4"/>
      <c r="G4" s="8" t="s">
        <v>16</v>
      </c>
      <c r="H4" s="8" t="s">
        <v>6</v>
      </c>
      <c r="I4" s="8" t="s">
        <v>15</v>
      </c>
      <c r="J4" s="11" t="s">
        <v>17</v>
      </c>
      <c r="K4" s="4"/>
    </row>
    <row r="5" customFormat="false" ht="15.75" hidden="false" customHeight="false" outlineLevel="0" collapsed="false">
      <c r="A5" s="12" t="s">
        <v>18</v>
      </c>
      <c r="B5" s="12" t="s">
        <v>19</v>
      </c>
      <c r="C5" s="13" t="b">
        <f aca="false">FALSE()</f>
        <v>0</v>
      </c>
      <c r="D5" s="4"/>
      <c r="E5" s="3"/>
      <c r="F5" s="4"/>
      <c r="G5" s="12" t="s">
        <v>20</v>
      </c>
      <c r="H5" s="12" t="s">
        <v>19</v>
      </c>
      <c r="I5" s="13" t="b">
        <f aca="false">FALSE()</f>
        <v>0</v>
      </c>
      <c r="J5" s="14" t="s">
        <v>21</v>
      </c>
      <c r="K5" s="4"/>
    </row>
    <row r="6" customFormat="false" ht="15.75" hidden="false" customHeight="false" outlineLevel="0" collapsed="false">
      <c r="A6" s="12" t="s">
        <v>22</v>
      </c>
      <c r="B6" s="12" t="s">
        <v>19</v>
      </c>
      <c r="C6" s="13" t="b">
        <f aca="false">FALSE()</f>
        <v>0</v>
      </c>
      <c r="D6" s="4"/>
      <c r="E6" s="3"/>
      <c r="F6" s="4"/>
      <c r="G6" s="12" t="s">
        <v>23</v>
      </c>
      <c r="H6" s="12" t="s">
        <v>19</v>
      </c>
      <c r="I6" s="13" t="b">
        <f aca="false">FALSE()</f>
        <v>0</v>
      </c>
      <c r="J6" s="14" t="s">
        <v>24</v>
      </c>
      <c r="K6" s="4"/>
    </row>
    <row r="7" customFormat="false" ht="15.75" hidden="false" customHeight="false" outlineLevel="0" collapsed="false">
      <c r="A7" s="12" t="s">
        <v>25</v>
      </c>
      <c r="B7" s="12" t="s">
        <v>6</v>
      </c>
      <c r="C7" s="12" t="s">
        <v>26</v>
      </c>
      <c r="D7" s="4"/>
      <c r="E7" s="3"/>
      <c r="F7" s="4"/>
      <c r="G7" s="12" t="s">
        <v>27</v>
      </c>
      <c r="H7" s="12" t="s">
        <v>6</v>
      </c>
      <c r="I7" s="12" t="s">
        <v>26</v>
      </c>
      <c r="J7" s="14" t="s">
        <v>28</v>
      </c>
      <c r="K7" s="4"/>
    </row>
    <row r="8" customFormat="false" ht="15.75" hidden="false" customHeight="false" outlineLevel="0" collapsed="false">
      <c r="A8" s="15" t="s">
        <v>29</v>
      </c>
      <c r="B8" s="15" t="s">
        <v>30</v>
      </c>
      <c r="C8" s="16" t="n">
        <v>43802</v>
      </c>
      <c r="D8" s="4"/>
      <c r="E8" s="3"/>
      <c r="F8" s="4"/>
      <c r="G8" s="17" t="s">
        <v>31</v>
      </c>
      <c r="H8" s="17" t="s">
        <v>30</v>
      </c>
      <c r="I8" s="18" t="n">
        <v>43802</v>
      </c>
      <c r="J8" s="19" t="s">
        <v>32</v>
      </c>
      <c r="K8" s="4"/>
    </row>
    <row r="9" customFormat="false" ht="15.75" hidden="false" customHeight="true" outlineLevel="0" collapsed="false">
      <c r="A9" s="20" t="s">
        <v>33</v>
      </c>
      <c r="B9" s="15" t="s">
        <v>34</v>
      </c>
      <c r="C9" s="21" t="n">
        <v>0.256944444444444</v>
      </c>
      <c r="D9" s="22" t="s">
        <v>35</v>
      </c>
      <c r="E9" s="23" t="s">
        <v>36</v>
      </c>
      <c r="F9" s="22" t="s">
        <v>35</v>
      </c>
      <c r="G9" s="15" t="s">
        <v>37</v>
      </c>
      <c r="H9" s="15" t="s">
        <v>38</v>
      </c>
      <c r="I9" s="24" t="n">
        <v>43802.2569444444</v>
      </c>
      <c r="J9" s="25" t="s">
        <v>39</v>
      </c>
      <c r="K9" s="4"/>
    </row>
    <row r="10" customFormat="false" ht="15.75" hidden="false" customHeight="false" outlineLevel="0" collapsed="false">
      <c r="A10" s="20" t="s">
        <v>40</v>
      </c>
      <c r="B10" s="15" t="s">
        <v>34</v>
      </c>
      <c r="C10" s="21" t="n">
        <v>0.252083333333333</v>
      </c>
      <c r="D10" s="22" t="s">
        <v>35</v>
      </c>
      <c r="E10" s="23"/>
      <c r="F10" s="22" t="s">
        <v>35</v>
      </c>
      <c r="G10" s="15" t="s">
        <v>41</v>
      </c>
      <c r="H10" s="15" t="s">
        <v>38</v>
      </c>
      <c r="I10" s="24" t="n">
        <v>43802.2520833333</v>
      </c>
      <c r="J10" s="25" t="s">
        <v>42</v>
      </c>
      <c r="K10" s="4"/>
    </row>
    <row r="11" customFormat="false" ht="15.75" hidden="false" customHeight="false" outlineLevel="0" collapsed="false">
      <c r="A11" s="20" t="s">
        <v>43</v>
      </c>
      <c r="B11" s="15" t="s">
        <v>34</v>
      </c>
      <c r="C11" s="21" t="n">
        <v>0.384722222222222</v>
      </c>
      <c r="D11" s="22" t="s">
        <v>35</v>
      </c>
      <c r="E11" s="23"/>
      <c r="F11" s="22" t="s">
        <v>35</v>
      </c>
      <c r="G11" s="15" t="s">
        <v>44</v>
      </c>
      <c r="H11" s="15" t="s">
        <v>38</v>
      </c>
      <c r="I11" s="24" t="n">
        <v>43802.3847222222</v>
      </c>
      <c r="J11" s="25" t="s">
        <v>45</v>
      </c>
      <c r="K11" s="4"/>
    </row>
    <row r="12" customFormat="false" ht="15.75" hidden="false" customHeight="false" outlineLevel="0" collapsed="false">
      <c r="A12" s="20" t="s">
        <v>46</v>
      </c>
      <c r="B12" s="15" t="s">
        <v>34</v>
      </c>
      <c r="C12" s="21" t="n">
        <v>0.429166666666667</v>
      </c>
      <c r="D12" s="22" t="s">
        <v>35</v>
      </c>
      <c r="E12" s="23"/>
      <c r="F12" s="22" t="s">
        <v>35</v>
      </c>
      <c r="G12" s="15" t="s">
        <v>47</v>
      </c>
      <c r="H12" s="15" t="s">
        <v>38</v>
      </c>
      <c r="I12" s="24" t="n">
        <v>43802.4291666667</v>
      </c>
      <c r="J12" s="25" t="s">
        <v>48</v>
      </c>
      <c r="K12" s="4"/>
    </row>
    <row r="13" customFormat="false" ht="15.75" hidden="false" customHeight="true" outlineLevel="0" collapsed="false">
      <c r="A13" s="26" t="s">
        <v>49</v>
      </c>
      <c r="B13" s="26" t="s">
        <v>50</v>
      </c>
      <c r="C13" s="26" t="n">
        <v>-7</v>
      </c>
      <c r="D13" s="4"/>
      <c r="E13" s="27"/>
      <c r="F13" s="4"/>
      <c r="G13" s="26" t="s">
        <v>51</v>
      </c>
      <c r="H13" s="26" t="s">
        <v>50</v>
      </c>
      <c r="I13" s="26" t="n">
        <v>-7</v>
      </c>
      <c r="J13" s="28" t="s">
        <v>52</v>
      </c>
      <c r="K13" s="4"/>
    </row>
    <row r="14" customFormat="false" ht="15.75" hidden="false" customHeight="false" outlineLevel="0" collapsed="false">
      <c r="A14" s="26" t="s">
        <v>53</v>
      </c>
      <c r="B14" s="26" t="s">
        <v>50</v>
      </c>
      <c r="C14" s="26" t="n">
        <v>64</v>
      </c>
      <c r="D14" s="4"/>
      <c r="E14" s="27"/>
      <c r="F14" s="4"/>
      <c r="G14" s="26" t="s">
        <v>54</v>
      </c>
      <c r="H14" s="26" t="s">
        <v>50</v>
      </c>
      <c r="I14" s="26" t="n">
        <v>64</v>
      </c>
      <c r="J14" s="28" t="s">
        <v>55</v>
      </c>
      <c r="K14" s="4"/>
    </row>
    <row r="15" customFormat="false" ht="15.75" hidden="false" customHeight="false" outlineLevel="0" collapsed="false">
      <c r="A15" s="26" t="s">
        <v>56</v>
      </c>
      <c r="B15" s="26" t="s">
        <v>50</v>
      </c>
      <c r="C15" s="26" t="n">
        <v>184</v>
      </c>
      <c r="D15" s="4"/>
      <c r="E15" s="27"/>
      <c r="F15" s="4"/>
      <c r="G15" s="26" t="s">
        <v>57</v>
      </c>
      <c r="H15" s="26" t="s">
        <v>50</v>
      </c>
      <c r="I15" s="26" t="n">
        <v>184</v>
      </c>
      <c r="J15" s="28" t="s">
        <v>58</v>
      </c>
      <c r="K15" s="4"/>
    </row>
    <row r="16" customFormat="false" ht="15.75" hidden="false" customHeight="false" outlineLevel="0" collapsed="false">
      <c r="A16" s="26" t="s">
        <v>59</v>
      </c>
      <c r="B16" s="26" t="s">
        <v>50</v>
      </c>
      <c r="C16" s="26" t="n">
        <v>255</v>
      </c>
      <c r="D16" s="4"/>
      <c r="E16" s="3"/>
      <c r="F16" s="4"/>
      <c r="G16" s="26" t="s">
        <v>60</v>
      </c>
      <c r="H16" s="26" t="s">
        <v>50</v>
      </c>
      <c r="I16" s="26" t="n">
        <v>255</v>
      </c>
      <c r="J16" s="28" t="s">
        <v>61</v>
      </c>
      <c r="K16" s="4"/>
    </row>
    <row r="17" customFormat="false" ht="15.75" hidden="false" customHeight="true" outlineLevel="0" collapsed="false">
      <c r="A17" s="29" t="s">
        <v>62</v>
      </c>
      <c r="B17" s="29" t="s">
        <v>6</v>
      </c>
      <c r="C17" s="30" t="s">
        <v>63</v>
      </c>
      <c r="D17" s="22" t="s">
        <v>35</v>
      </c>
      <c r="E17" s="31" t="s">
        <v>64</v>
      </c>
      <c r="F17" s="22" t="s">
        <v>35</v>
      </c>
      <c r="G17" s="32" t="s">
        <v>65</v>
      </c>
      <c r="H17" s="32" t="s">
        <v>66</v>
      </c>
      <c r="I17" s="30" t="s">
        <v>67</v>
      </c>
      <c r="J17" s="33" t="s">
        <v>68</v>
      </c>
      <c r="K17" s="4"/>
    </row>
    <row r="18" customFormat="false" ht="15.75" hidden="false" customHeight="false" outlineLevel="0" collapsed="false">
      <c r="A18" s="29" t="s">
        <v>69</v>
      </c>
      <c r="B18" s="29" t="s">
        <v>6</v>
      </c>
      <c r="C18" s="30" t="s">
        <v>70</v>
      </c>
      <c r="D18" s="22" t="s">
        <v>35</v>
      </c>
      <c r="E18" s="31"/>
      <c r="F18" s="22" t="s">
        <v>35</v>
      </c>
      <c r="G18" s="32" t="s">
        <v>71</v>
      </c>
      <c r="H18" s="32" t="s">
        <v>66</v>
      </c>
      <c r="I18" s="30" t="s">
        <v>72</v>
      </c>
      <c r="J18" s="33" t="s">
        <v>73</v>
      </c>
      <c r="K18" s="4"/>
    </row>
    <row r="19" customFormat="false" ht="15.75" hidden="false" customHeight="false" outlineLevel="0" collapsed="false">
      <c r="A19" s="29" t="s">
        <v>74</v>
      </c>
      <c r="B19" s="29" t="s">
        <v>6</v>
      </c>
      <c r="C19" s="30" t="s">
        <v>75</v>
      </c>
      <c r="D19" s="22" t="s">
        <v>35</v>
      </c>
      <c r="E19" s="31"/>
      <c r="F19" s="22" t="s">
        <v>35</v>
      </c>
      <c r="G19" s="32" t="s">
        <v>76</v>
      </c>
      <c r="H19" s="32" t="s">
        <v>66</v>
      </c>
      <c r="I19" s="30" t="s">
        <v>77</v>
      </c>
      <c r="J19" s="33" t="s">
        <v>78</v>
      </c>
      <c r="K19" s="4"/>
    </row>
    <row r="20" customFormat="false" ht="15.75" hidden="false" customHeight="false" outlineLevel="0" collapsed="false">
      <c r="A20" s="29" t="s">
        <v>79</v>
      </c>
      <c r="B20" s="29" t="s">
        <v>6</v>
      </c>
      <c r="C20" s="30" t="s">
        <v>80</v>
      </c>
      <c r="D20" s="22" t="s">
        <v>35</v>
      </c>
      <c r="E20" s="31"/>
      <c r="F20" s="22" t="s">
        <v>35</v>
      </c>
      <c r="G20" s="32" t="s">
        <v>81</v>
      </c>
      <c r="H20" s="32" t="s">
        <v>66</v>
      </c>
      <c r="I20" s="30" t="s">
        <v>82</v>
      </c>
      <c r="J20" s="33" t="s">
        <v>83</v>
      </c>
      <c r="K20" s="4"/>
    </row>
    <row r="21" customFormat="false" ht="15.75" hidden="false" customHeight="false" outlineLevel="0" collapsed="false">
      <c r="A21" s="29" t="s">
        <v>84</v>
      </c>
      <c r="B21" s="29" t="s">
        <v>6</v>
      </c>
      <c r="C21" s="30" t="s">
        <v>85</v>
      </c>
      <c r="D21" s="22" t="s">
        <v>35</v>
      </c>
      <c r="E21" s="31"/>
      <c r="F21" s="22" t="s">
        <v>35</v>
      </c>
      <c r="G21" s="32" t="s">
        <v>86</v>
      </c>
      <c r="H21" s="32" t="s">
        <v>66</v>
      </c>
      <c r="I21" s="30" t="s">
        <v>87</v>
      </c>
      <c r="J21" s="33" t="s">
        <v>88</v>
      </c>
      <c r="K21" s="4"/>
    </row>
    <row r="22" customFormat="false" ht="15.75" hidden="false" customHeight="false" outlineLevel="0" collapsed="false">
      <c r="A22" s="3"/>
      <c r="B22" s="3"/>
      <c r="C22" s="3"/>
      <c r="D22" s="4"/>
      <c r="E22" s="4"/>
      <c r="F22" s="4"/>
      <c r="G22" s="4"/>
      <c r="H22" s="4"/>
      <c r="I22" s="4"/>
      <c r="J22" s="3"/>
      <c r="K22" s="4"/>
    </row>
    <row r="23" customFormat="false" ht="15.75" hidden="false" customHeight="false" outlineLevel="0" collapsed="false">
      <c r="A23" s="34" t="s">
        <v>89</v>
      </c>
      <c r="B23" s="34" t="s">
        <v>1</v>
      </c>
      <c r="C23" s="34" t="s">
        <v>2</v>
      </c>
      <c r="D23" s="4"/>
      <c r="E23" s="3"/>
      <c r="F23" s="4"/>
      <c r="G23" s="34" t="s">
        <v>90</v>
      </c>
      <c r="H23" s="34" t="s">
        <v>1</v>
      </c>
      <c r="I23" s="34" t="s">
        <v>2</v>
      </c>
      <c r="J23" s="34" t="s">
        <v>4</v>
      </c>
      <c r="K23" s="4"/>
    </row>
    <row r="24" customFormat="false" ht="15.75" hidden="false" customHeight="false" outlineLevel="0" collapsed="false">
      <c r="A24" s="20" t="s">
        <v>91</v>
      </c>
      <c r="B24" s="20" t="s">
        <v>50</v>
      </c>
      <c r="C24" s="20" t="n">
        <v>2023</v>
      </c>
      <c r="D24" s="22" t="s">
        <v>35</v>
      </c>
      <c r="E24" s="15" t="s">
        <v>92</v>
      </c>
      <c r="F24" s="22" t="s">
        <v>35</v>
      </c>
      <c r="G24" s="17" t="s">
        <v>93</v>
      </c>
      <c r="H24" s="17" t="s">
        <v>30</v>
      </c>
      <c r="I24" s="18" t="n">
        <v>45139</v>
      </c>
      <c r="J24" s="19" t="s">
        <v>94</v>
      </c>
      <c r="K24" s="4"/>
    </row>
    <row r="25" customFormat="false" ht="15.75" hidden="false" customHeight="false" outlineLevel="0" collapsed="false">
      <c r="A25" s="20" t="s">
        <v>95</v>
      </c>
      <c r="B25" s="20" t="s">
        <v>50</v>
      </c>
      <c r="C25" s="20" t="n">
        <v>8</v>
      </c>
      <c r="D25" s="22" t="s">
        <v>35</v>
      </c>
      <c r="E25" s="15"/>
      <c r="F25" s="22"/>
      <c r="G25" s="35"/>
      <c r="H25" s="35"/>
      <c r="I25" s="35"/>
      <c r="J25" s="36"/>
      <c r="K25" s="4"/>
    </row>
    <row r="26" customFormat="false" ht="15.75" hidden="false" customHeight="false" outlineLevel="0" collapsed="false">
      <c r="A26" s="8" t="s">
        <v>96</v>
      </c>
      <c r="B26" s="8" t="s">
        <v>6</v>
      </c>
      <c r="C26" s="8" t="s">
        <v>97</v>
      </c>
      <c r="D26" s="4"/>
      <c r="E26" s="3"/>
      <c r="F26" s="4"/>
      <c r="G26" s="9" t="s">
        <v>98</v>
      </c>
      <c r="H26" s="9" t="s">
        <v>6</v>
      </c>
      <c r="I26" s="9" t="s">
        <v>97</v>
      </c>
      <c r="J26" s="10" t="s">
        <v>99</v>
      </c>
      <c r="K26" s="4"/>
    </row>
    <row r="27" customFormat="false" ht="15.75" hidden="false" customHeight="false" outlineLevel="0" collapsed="false">
      <c r="A27" s="8" t="s">
        <v>100</v>
      </c>
      <c r="B27" s="8" t="s">
        <v>6</v>
      </c>
      <c r="C27" s="37" t="s">
        <v>101</v>
      </c>
      <c r="D27" s="4"/>
      <c r="F27" s="4"/>
      <c r="G27" s="8" t="s">
        <v>102</v>
      </c>
      <c r="H27" s="8" t="s">
        <v>6</v>
      </c>
      <c r="I27" s="37" t="s">
        <v>101</v>
      </c>
      <c r="J27" s="11" t="s">
        <v>103</v>
      </c>
      <c r="K27" s="4"/>
    </row>
    <row r="28" customFormat="false" ht="15.75" hidden="false" customHeight="false" outlineLevel="0" collapsed="false">
      <c r="A28" s="38" t="s">
        <v>104</v>
      </c>
      <c r="B28" s="38" t="s">
        <v>6</v>
      </c>
      <c r="C28" s="38" t="s">
        <v>105</v>
      </c>
      <c r="D28" s="4"/>
      <c r="E28" s="3"/>
      <c r="F28" s="4"/>
      <c r="G28" s="39" t="s">
        <v>106</v>
      </c>
      <c r="H28" s="39" t="s">
        <v>6</v>
      </c>
      <c r="I28" s="39" t="s">
        <v>105</v>
      </c>
      <c r="J28" s="40" t="s">
        <v>107</v>
      </c>
      <c r="K28" s="4"/>
    </row>
    <row r="29" customFormat="false" ht="15.75" hidden="false" customHeight="false" outlineLevel="0" collapsed="false">
      <c r="A29" s="41" t="s">
        <v>108</v>
      </c>
      <c r="B29" s="41" t="s">
        <v>6</v>
      </c>
      <c r="C29" s="41" t="s">
        <v>109</v>
      </c>
      <c r="E29" s="3"/>
      <c r="F29" s="4"/>
      <c r="G29" s="41" t="s">
        <v>8</v>
      </c>
      <c r="H29" s="41" t="s">
        <v>6</v>
      </c>
      <c r="I29" s="41" t="s">
        <v>109</v>
      </c>
      <c r="J29" s="42" t="s">
        <v>9</v>
      </c>
      <c r="K29" s="4"/>
    </row>
    <row r="30" customFormat="false" ht="15.75" hidden="false" customHeight="false" outlineLevel="0" collapsed="false">
      <c r="A30" s="12" t="s">
        <v>110</v>
      </c>
      <c r="B30" s="12" t="s">
        <v>50</v>
      </c>
      <c r="C30" s="12" t="s">
        <v>111</v>
      </c>
      <c r="D30" s="4"/>
      <c r="E30" s="3"/>
      <c r="F30" s="4"/>
      <c r="G30" s="12" t="s">
        <v>112</v>
      </c>
      <c r="H30" s="12" t="s">
        <v>50</v>
      </c>
      <c r="I30" s="12" t="s">
        <v>111</v>
      </c>
      <c r="J30" s="14" t="s">
        <v>113</v>
      </c>
      <c r="K30" s="4"/>
    </row>
    <row r="31" customFormat="false" ht="15.75" hidden="false" customHeight="false" outlineLevel="0" collapsed="false">
      <c r="A31" s="12" t="s">
        <v>114</v>
      </c>
      <c r="B31" s="12" t="s">
        <v>50</v>
      </c>
      <c r="C31" s="12" t="s">
        <v>115</v>
      </c>
      <c r="D31" s="4"/>
      <c r="E31" s="3"/>
      <c r="F31" s="4"/>
      <c r="G31" s="12" t="s">
        <v>116</v>
      </c>
      <c r="H31" s="12" t="s">
        <v>50</v>
      </c>
      <c r="I31" s="12" t="s">
        <v>115</v>
      </c>
      <c r="J31" s="14" t="s">
        <v>117</v>
      </c>
      <c r="K31" s="4"/>
    </row>
    <row r="32" customFormat="false" ht="15.75" hidden="false" customHeight="false" outlineLevel="0" collapsed="false">
      <c r="A32" s="12" t="s">
        <v>118</v>
      </c>
      <c r="B32" s="12" t="s">
        <v>50</v>
      </c>
      <c r="C32" s="12" t="s">
        <v>119</v>
      </c>
      <c r="D32" s="4"/>
      <c r="E32" s="3"/>
      <c r="F32" s="4"/>
      <c r="G32" s="12" t="s">
        <v>120</v>
      </c>
      <c r="H32" s="12" t="s">
        <v>50</v>
      </c>
      <c r="I32" s="12" t="s">
        <v>119</v>
      </c>
      <c r="J32" s="14" t="s">
        <v>121</v>
      </c>
      <c r="K32" s="4"/>
    </row>
    <row r="33" customFormat="false" ht="15.75" hidden="false" customHeight="false" outlineLevel="0" collapsed="false">
      <c r="A33" s="12" t="s">
        <v>122</v>
      </c>
      <c r="B33" s="12" t="s">
        <v>50</v>
      </c>
      <c r="C33" s="12" t="s">
        <v>123</v>
      </c>
      <c r="D33" s="4"/>
      <c r="E33" s="3"/>
      <c r="F33" s="4"/>
      <c r="G33" s="12" t="s">
        <v>124</v>
      </c>
      <c r="H33" s="12" t="s">
        <v>50</v>
      </c>
      <c r="I33" s="12" t="s">
        <v>123</v>
      </c>
      <c r="J33" s="14" t="s">
        <v>125</v>
      </c>
      <c r="K33" s="4"/>
    </row>
    <row r="34" customFormat="false" ht="15.75" hidden="false" customHeight="false" outlineLevel="0" collapsed="false">
      <c r="A34" s="32" t="s">
        <v>126</v>
      </c>
      <c r="B34" s="32" t="s">
        <v>66</v>
      </c>
      <c r="C34" s="32" t="s">
        <v>127</v>
      </c>
      <c r="D34" s="4"/>
      <c r="E34" s="3"/>
      <c r="F34" s="4"/>
      <c r="G34" s="32" t="s">
        <v>128</v>
      </c>
      <c r="H34" s="32" t="s">
        <v>66</v>
      </c>
      <c r="I34" s="32" t="s">
        <v>127</v>
      </c>
      <c r="J34" s="33" t="s">
        <v>129</v>
      </c>
      <c r="K34" s="4"/>
    </row>
    <row r="35" customFormat="false" ht="15.75" hidden="false" customHeight="false" outlineLevel="0" collapsed="false">
      <c r="A35" s="32" t="s">
        <v>130</v>
      </c>
      <c r="B35" s="32" t="s">
        <v>66</v>
      </c>
      <c r="C35" s="32" t="s">
        <v>131</v>
      </c>
      <c r="D35" s="4"/>
      <c r="E35" s="3"/>
      <c r="F35" s="4"/>
      <c r="G35" s="32" t="s">
        <v>132</v>
      </c>
      <c r="H35" s="32" t="s">
        <v>66</v>
      </c>
      <c r="I35" s="32" t="s">
        <v>131</v>
      </c>
      <c r="J35" s="33" t="s">
        <v>133</v>
      </c>
      <c r="K35" s="4"/>
    </row>
    <row r="36" customFormat="false" ht="15.75" hidden="false" customHeight="false" outlineLevel="0" collapsed="false">
      <c r="A36" s="32" t="s">
        <v>134</v>
      </c>
      <c r="B36" s="32" t="s">
        <v>66</v>
      </c>
      <c r="C36" s="32" t="s">
        <v>135</v>
      </c>
      <c r="D36" s="4"/>
      <c r="E36" s="4"/>
      <c r="F36" s="4"/>
      <c r="G36" s="32" t="s">
        <v>136</v>
      </c>
      <c r="H36" s="32" t="s">
        <v>66</v>
      </c>
      <c r="I36" s="32" t="s">
        <v>135</v>
      </c>
      <c r="J36" s="33" t="s">
        <v>137</v>
      </c>
      <c r="K36" s="4"/>
    </row>
    <row r="37" customFormat="false" ht="15.75" hidden="false" customHeight="false" outlineLevel="0" collapsed="false">
      <c r="A37" s="32" t="s">
        <v>138</v>
      </c>
      <c r="B37" s="32" t="s">
        <v>66</v>
      </c>
      <c r="C37" s="32" t="s">
        <v>139</v>
      </c>
      <c r="D37" s="4"/>
      <c r="E37" s="4"/>
      <c r="F37" s="4"/>
      <c r="G37" s="32" t="s">
        <v>140</v>
      </c>
      <c r="H37" s="32" t="s">
        <v>66</v>
      </c>
      <c r="I37" s="32" t="s">
        <v>139</v>
      </c>
      <c r="J37" s="33" t="s">
        <v>141</v>
      </c>
      <c r="K37" s="4"/>
    </row>
    <row r="38" customFormat="false" ht="15.75" hidden="false" customHeight="false" outlineLevel="0" collapsed="false">
      <c r="A38" s="32" t="s">
        <v>142</v>
      </c>
      <c r="B38" s="32" t="s">
        <v>66</v>
      </c>
      <c r="C38" s="32" t="s">
        <v>143</v>
      </c>
      <c r="D38" s="4"/>
      <c r="E38" s="4"/>
      <c r="F38" s="4"/>
      <c r="G38" s="32" t="s">
        <v>144</v>
      </c>
      <c r="H38" s="32" t="s">
        <v>66</v>
      </c>
      <c r="I38" s="32" t="s">
        <v>143</v>
      </c>
      <c r="J38" s="33" t="s">
        <v>145</v>
      </c>
      <c r="K38" s="4"/>
    </row>
    <row r="39" customFormat="false" ht="15.75" hidden="false" customHeight="false" outlineLevel="0" collapsed="false">
      <c r="A39" s="43" t="s">
        <v>146</v>
      </c>
      <c r="B39" s="43" t="s">
        <v>66</v>
      </c>
      <c r="C39" s="43" t="s">
        <v>147</v>
      </c>
      <c r="D39" s="4"/>
      <c r="E39" s="4"/>
      <c r="F39" s="4"/>
      <c r="G39" s="43" t="s">
        <v>148</v>
      </c>
      <c r="H39" s="43" t="s">
        <v>66</v>
      </c>
      <c r="I39" s="43" t="s">
        <v>147</v>
      </c>
      <c r="J39" s="44" t="s">
        <v>149</v>
      </c>
      <c r="K39" s="4"/>
    </row>
    <row r="40" customFormat="false" ht="15.75" hidden="false" customHeight="false" outlineLevel="0" collapsed="false">
      <c r="A40" s="45" t="s">
        <v>150</v>
      </c>
      <c r="B40" s="45" t="s">
        <v>66</v>
      </c>
      <c r="C40" s="43" t="s">
        <v>151</v>
      </c>
      <c r="D40" s="4"/>
      <c r="E40" s="4"/>
      <c r="F40" s="4"/>
      <c r="G40" s="45" t="s">
        <v>152</v>
      </c>
      <c r="H40" s="45" t="s">
        <v>66</v>
      </c>
      <c r="I40" s="43" t="s">
        <v>151</v>
      </c>
      <c r="J40" s="46" t="s">
        <v>153</v>
      </c>
      <c r="K40" s="4"/>
    </row>
    <row r="41" customFormat="false" ht="15.75" hidden="false" customHeight="false" outlineLevel="0" collapsed="false">
      <c r="A41" s="45" t="s">
        <v>154</v>
      </c>
      <c r="B41" s="45" t="s">
        <v>66</v>
      </c>
      <c r="C41" s="43" t="s">
        <v>155</v>
      </c>
      <c r="D41" s="4"/>
      <c r="E41" s="4"/>
      <c r="F41" s="4"/>
      <c r="G41" s="45" t="s">
        <v>156</v>
      </c>
      <c r="H41" s="45" t="s">
        <v>66</v>
      </c>
      <c r="I41" s="43" t="s">
        <v>155</v>
      </c>
      <c r="J41" s="46" t="s">
        <v>157</v>
      </c>
      <c r="K41" s="4"/>
    </row>
    <row r="42" customFormat="false" ht="15.75" hidden="false" customHeight="false" outlineLevel="0" collapsed="false">
      <c r="A42" s="3"/>
      <c r="B42" s="3"/>
      <c r="C42" s="3"/>
      <c r="D42" s="4"/>
      <c r="E42" s="4"/>
      <c r="F42" s="4"/>
      <c r="G42" s="4"/>
      <c r="H42" s="4"/>
      <c r="I42" s="4"/>
      <c r="J42" s="3"/>
      <c r="K42" s="4"/>
    </row>
    <row r="43" customFormat="false" ht="15.75" hidden="false" customHeight="false" outlineLevel="0" collapsed="false">
      <c r="A43" s="34" t="s">
        <v>158</v>
      </c>
      <c r="B43" s="34" t="s">
        <v>1</v>
      </c>
      <c r="C43" s="34" t="s">
        <v>2</v>
      </c>
      <c r="D43" s="4"/>
      <c r="E43" s="4"/>
      <c r="F43" s="4"/>
      <c r="G43" s="34" t="s">
        <v>159</v>
      </c>
      <c r="H43" s="34" t="s">
        <v>1</v>
      </c>
      <c r="I43" s="34" t="s">
        <v>2</v>
      </c>
      <c r="J43" s="34" t="s">
        <v>4</v>
      </c>
      <c r="K43" s="4"/>
    </row>
    <row r="44" customFormat="false" ht="15.75" hidden="false" customHeight="false" outlineLevel="0" collapsed="false">
      <c r="A44" s="47" t="s">
        <v>160</v>
      </c>
      <c r="B44" s="47" t="s">
        <v>6</v>
      </c>
      <c r="C44" s="47" t="s">
        <v>161</v>
      </c>
      <c r="D44" s="4"/>
      <c r="E44" s="4"/>
      <c r="F44" s="4"/>
      <c r="G44" s="39" t="s">
        <v>162</v>
      </c>
      <c r="H44" s="39" t="s">
        <v>6</v>
      </c>
      <c r="I44" s="39" t="s">
        <v>161</v>
      </c>
      <c r="J44" s="40" t="s">
        <v>163</v>
      </c>
      <c r="K44" s="4"/>
    </row>
    <row r="45" customFormat="false" ht="15.75" hidden="false" customHeight="false" outlineLevel="0" collapsed="false">
      <c r="A45" s="48" t="s">
        <v>164</v>
      </c>
      <c r="B45" s="48" t="s">
        <v>6</v>
      </c>
      <c r="C45" s="48" t="s">
        <v>165</v>
      </c>
      <c r="D45" s="4"/>
      <c r="E45" s="4"/>
      <c r="F45" s="4"/>
      <c r="G45" s="48" t="s">
        <v>166</v>
      </c>
      <c r="H45" s="48" t="s">
        <v>6</v>
      </c>
      <c r="I45" s="48" t="s">
        <v>165</v>
      </c>
      <c r="J45" s="49" t="s">
        <v>167</v>
      </c>
      <c r="K45" s="4"/>
    </row>
    <row r="46" customFormat="false" ht="15.75" hidden="false" customHeight="false" outlineLevel="0" collapsed="false">
      <c r="A46" s="48" t="s">
        <v>168</v>
      </c>
      <c r="B46" s="48" t="s">
        <v>6</v>
      </c>
      <c r="C46" s="48" t="s">
        <v>169</v>
      </c>
      <c r="D46" s="4"/>
      <c r="E46" s="4"/>
      <c r="F46" s="4"/>
      <c r="G46" s="48" t="s">
        <v>170</v>
      </c>
      <c r="H46" s="48" t="s">
        <v>6</v>
      </c>
      <c r="I46" s="48" t="s">
        <v>169</v>
      </c>
      <c r="J46" s="49" t="s">
        <v>171</v>
      </c>
      <c r="K46" s="4"/>
    </row>
    <row r="47" customFormat="false" ht="15.75" hidden="false" customHeight="false" outlineLevel="0" collapsed="false">
      <c r="A47" s="41" t="s">
        <v>172</v>
      </c>
      <c r="B47" s="41" t="s">
        <v>6</v>
      </c>
      <c r="C47" s="41" t="s">
        <v>173</v>
      </c>
      <c r="D47" s="4"/>
      <c r="E47" s="4"/>
      <c r="F47" s="4"/>
      <c r="G47" s="41" t="s">
        <v>8</v>
      </c>
      <c r="H47" s="41" t="s">
        <v>6</v>
      </c>
      <c r="I47" s="41" t="s">
        <v>173</v>
      </c>
      <c r="J47" s="42" t="s">
        <v>9</v>
      </c>
      <c r="K47" s="4"/>
    </row>
    <row r="48" customFormat="false" ht="15.75" hidden="false" customHeight="false" outlineLevel="0" collapsed="false">
      <c r="A48" s="50" t="s">
        <v>174</v>
      </c>
      <c r="B48" s="50" t="s">
        <v>30</v>
      </c>
      <c r="C48" s="50" t="n">
        <v>45139</v>
      </c>
      <c r="D48" s="4"/>
      <c r="E48" s="4"/>
      <c r="F48" s="4"/>
      <c r="G48" s="15" t="s">
        <v>31</v>
      </c>
      <c r="H48" s="50" t="s">
        <v>30</v>
      </c>
      <c r="I48" s="50" t="n">
        <v>45139</v>
      </c>
      <c r="J48" s="51" t="s">
        <v>32</v>
      </c>
      <c r="K48" s="4"/>
    </row>
    <row r="49" customFormat="false" ht="15.75" hidden="false" customHeight="false" outlineLevel="0" collapsed="false">
      <c r="A49" s="52" t="s">
        <v>175</v>
      </c>
      <c r="B49" s="15" t="s">
        <v>38</v>
      </c>
      <c r="C49" s="52" t="n">
        <v>45139.6340277778</v>
      </c>
      <c r="D49" s="4"/>
      <c r="E49" s="4"/>
      <c r="F49" s="4"/>
      <c r="G49" s="15" t="s">
        <v>37</v>
      </c>
      <c r="H49" s="15" t="s">
        <v>38</v>
      </c>
      <c r="I49" s="52" t="n">
        <v>45139.6340277778</v>
      </c>
      <c r="J49" s="53" t="s">
        <v>39</v>
      </c>
      <c r="K49" s="4"/>
    </row>
    <row r="50" customFormat="false" ht="15.75" hidden="false" customHeight="false" outlineLevel="0" collapsed="false">
      <c r="A50" s="52" t="s">
        <v>176</v>
      </c>
      <c r="B50" s="15" t="s">
        <v>38</v>
      </c>
      <c r="C50" s="52" t="n">
        <v>45139.6555555556</v>
      </c>
      <c r="D50" s="4"/>
      <c r="E50" s="4"/>
      <c r="F50" s="4"/>
      <c r="G50" s="15" t="s">
        <v>41</v>
      </c>
      <c r="H50" s="15" t="s">
        <v>38</v>
      </c>
      <c r="I50" s="52" t="n">
        <v>45139.6555555556</v>
      </c>
      <c r="J50" s="53" t="s">
        <v>42</v>
      </c>
      <c r="K50" s="4"/>
    </row>
    <row r="51" customFormat="false" ht="15.75" hidden="false" customHeight="false" outlineLevel="0" collapsed="false">
      <c r="A51" s="52" t="s">
        <v>177</v>
      </c>
      <c r="B51" s="15" t="s">
        <v>38</v>
      </c>
      <c r="C51" s="52" t="n">
        <v>45139.7173611111</v>
      </c>
      <c r="D51" s="4"/>
      <c r="E51" s="4"/>
      <c r="F51" s="4"/>
      <c r="G51" s="15" t="s">
        <v>44</v>
      </c>
      <c r="H51" s="15" t="s">
        <v>38</v>
      </c>
      <c r="I51" s="52" t="n">
        <v>45139.7173611111</v>
      </c>
      <c r="J51" s="53" t="s">
        <v>45</v>
      </c>
      <c r="K51" s="4"/>
    </row>
    <row r="52" customFormat="false" ht="15.75" hidden="false" customHeight="false" outlineLevel="0" collapsed="false">
      <c r="A52" s="52" t="s">
        <v>178</v>
      </c>
      <c r="B52" s="15" t="s">
        <v>38</v>
      </c>
      <c r="C52" s="52" t="n">
        <v>45139.7395833333</v>
      </c>
      <c r="D52" s="4"/>
      <c r="E52" s="4"/>
      <c r="F52" s="4"/>
      <c r="G52" s="15" t="s">
        <v>47</v>
      </c>
      <c r="H52" s="15" t="s">
        <v>38</v>
      </c>
      <c r="I52" s="52" t="n">
        <v>45139.7395833333</v>
      </c>
      <c r="J52" s="53" t="s">
        <v>48</v>
      </c>
      <c r="K52" s="4"/>
    </row>
    <row r="53" customFormat="false" ht="15.75" hidden="false" customHeight="false" outlineLevel="0" collapsed="false">
      <c r="A53" s="45" t="s">
        <v>179</v>
      </c>
      <c r="B53" s="45" t="s">
        <v>50</v>
      </c>
      <c r="C53" s="45" t="n">
        <v>31</v>
      </c>
      <c r="D53" s="4"/>
      <c r="E53" s="4"/>
      <c r="F53" s="4"/>
      <c r="G53" s="26" t="s">
        <v>51</v>
      </c>
      <c r="H53" s="45" t="s">
        <v>50</v>
      </c>
      <c r="I53" s="45" t="n">
        <v>31</v>
      </c>
      <c r="J53" s="46" t="s">
        <v>52</v>
      </c>
      <c r="K53" s="4"/>
    </row>
    <row r="54" customFormat="false" ht="15.75" hidden="false" customHeight="false" outlineLevel="0" collapsed="false">
      <c r="A54" s="45" t="s">
        <v>180</v>
      </c>
      <c r="B54" s="45" t="s">
        <v>50</v>
      </c>
      <c r="C54" s="45" t="n">
        <v>32</v>
      </c>
      <c r="D54" s="4"/>
      <c r="E54" s="4"/>
      <c r="F54" s="4"/>
      <c r="G54" s="26" t="s">
        <v>54</v>
      </c>
      <c r="H54" s="45" t="s">
        <v>50</v>
      </c>
      <c r="I54" s="45" t="n">
        <v>32</v>
      </c>
      <c r="J54" s="46" t="s">
        <v>55</v>
      </c>
      <c r="K54" s="4"/>
    </row>
    <row r="55" customFormat="false" ht="15.75" hidden="false" customHeight="false" outlineLevel="0" collapsed="false">
      <c r="A55" s="32" t="s">
        <v>181</v>
      </c>
      <c r="B55" s="32" t="s">
        <v>6</v>
      </c>
      <c r="C55" s="32" t="s">
        <v>182</v>
      </c>
      <c r="D55" s="4"/>
      <c r="E55" s="4"/>
      <c r="F55" s="4"/>
      <c r="G55" s="32" t="s">
        <v>183</v>
      </c>
      <c r="H55" s="32" t="s">
        <v>6</v>
      </c>
      <c r="I55" s="32" t="s">
        <v>182</v>
      </c>
      <c r="J55" s="54" t="s">
        <v>184</v>
      </c>
      <c r="K55" s="4"/>
    </row>
    <row r="56" customFormat="false" ht="15.75" hidden="false" customHeight="false" outlineLevel="0" collapsed="false">
      <c r="D56" s="4"/>
      <c r="E56" s="4"/>
      <c r="F56" s="4"/>
      <c r="K56" s="4"/>
    </row>
    <row r="57" customFormat="false" ht="15.75" hidden="false" customHeight="false" outlineLevel="0" collapsed="false">
      <c r="A57" s="55" t="s">
        <v>185</v>
      </c>
      <c r="B57" s="56" t="s">
        <v>1</v>
      </c>
      <c r="C57" s="56" t="s">
        <v>2</v>
      </c>
      <c r="D57" s="3"/>
      <c r="E57" s="4"/>
      <c r="F57" s="4"/>
      <c r="G57" s="55" t="s">
        <v>186</v>
      </c>
      <c r="H57" s="56" t="s">
        <v>1</v>
      </c>
      <c r="I57" s="56" t="s">
        <v>2</v>
      </c>
      <c r="J57" s="56" t="s">
        <v>4</v>
      </c>
    </row>
    <row r="58" customFormat="false" ht="15.75" hidden="false" customHeight="false" outlineLevel="0" collapsed="false">
      <c r="A58" s="47" t="s">
        <v>187</v>
      </c>
      <c r="B58" s="47" t="s">
        <v>6</v>
      </c>
      <c r="C58" s="57" t="s">
        <v>188</v>
      </c>
      <c r="D58" s="3"/>
      <c r="E58" s="4"/>
      <c r="F58" s="4"/>
      <c r="G58" s="39" t="s">
        <v>189</v>
      </c>
      <c r="H58" s="39" t="s">
        <v>6</v>
      </c>
      <c r="I58" s="58" t="s">
        <v>188</v>
      </c>
      <c r="J58" s="40" t="s">
        <v>190</v>
      </c>
      <c r="K58" s="4"/>
    </row>
    <row r="59" customFormat="false" ht="15.75" hidden="false" customHeight="false" outlineLevel="0" collapsed="false">
      <c r="A59" s="59" t="s">
        <v>30</v>
      </c>
      <c r="B59" s="20" t="s">
        <v>38</v>
      </c>
      <c r="C59" s="59" t="n">
        <v>45139.625</v>
      </c>
      <c r="D59" s="4"/>
      <c r="E59" s="4"/>
      <c r="F59" s="4"/>
      <c r="G59" s="17" t="s">
        <v>191</v>
      </c>
      <c r="H59" s="17" t="s">
        <v>38</v>
      </c>
      <c r="I59" s="60" t="n">
        <v>45139.625</v>
      </c>
      <c r="J59" s="61" t="s">
        <v>192</v>
      </c>
      <c r="K59" s="4"/>
    </row>
    <row r="60" customFormat="false" ht="15.75" hidden="false" customHeight="false" outlineLevel="0" collapsed="false">
      <c r="A60" s="38" t="s">
        <v>193</v>
      </c>
      <c r="B60" s="38" t="s">
        <v>6</v>
      </c>
      <c r="C60" s="62"/>
      <c r="D60" s="4"/>
      <c r="E60" s="4"/>
      <c r="F60" s="4"/>
      <c r="G60" s="38" t="s">
        <v>194</v>
      </c>
      <c r="H60" s="38" t="s">
        <v>6</v>
      </c>
      <c r="I60" s="62"/>
      <c r="J60" s="63" t="s">
        <v>195</v>
      </c>
      <c r="K60" s="4"/>
    </row>
    <row r="61" customFormat="false" ht="15.75" hidden="false" customHeight="false" outlineLevel="0" collapsed="false">
      <c r="A61" s="48" t="s">
        <v>196</v>
      </c>
      <c r="B61" s="48" t="s">
        <v>66</v>
      </c>
      <c r="C61" s="64"/>
      <c r="D61" s="4"/>
      <c r="E61" s="4"/>
      <c r="F61" s="4"/>
      <c r="G61" s="48" t="s">
        <v>197</v>
      </c>
      <c r="H61" s="48" t="s">
        <v>66</v>
      </c>
      <c r="I61" s="64"/>
      <c r="J61" s="49" t="s">
        <v>198</v>
      </c>
      <c r="K61" s="4"/>
    </row>
    <row r="62" customFormat="false" ht="15.75" hidden="false" customHeight="false" outlineLevel="0" collapsed="false">
      <c r="A62" s="48" t="s">
        <v>199</v>
      </c>
      <c r="B62" s="48" t="s">
        <v>66</v>
      </c>
      <c r="C62" s="64"/>
      <c r="D62" s="4"/>
      <c r="E62" s="4"/>
      <c r="F62" s="4"/>
      <c r="G62" s="48" t="s">
        <v>200</v>
      </c>
      <c r="H62" s="48" t="s">
        <v>66</v>
      </c>
      <c r="I62" s="64"/>
      <c r="J62" s="49" t="s">
        <v>201</v>
      </c>
      <c r="K62" s="4"/>
    </row>
    <row r="63" customFormat="false" ht="15.75" hidden="false" customHeight="false" outlineLevel="0" collapsed="false">
      <c r="A63" s="48" t="s">
        <v>202</v>
      </c>
      <c r="B63" s="48" t="s">
        <v>66</v>
      </c>
      <c r="C63" s="64"/>
      <c r="D63" s="4"/>
      <c r="E63" s="4"/>
      <c r="F63" s="4"/>
      <c r="G63" s="48" t="s">
        <v>203</v>
      </c>
      <c r="H63" s="48" t="s">
        <v>66</v>
      </c>
      <c r="I63" s="64"/>
      <c r="J63" s="49" t="s">
        <v>204</v>
      </c>
      <c r="K63" s="4"/>
    </row>
    <row r="64" customFormat="false" ht="15.75" hidden="false" customHeight="false" outlineLevel="0" collapsed="false">
      <c r="A64" s="43" t="s">
        <v>205</v>
      </c>
      <c r="B64" s="43" t="s">
        <v>66</v>
      </c>
      <c r="C64" s="65" t="s">
        <v>206</v>
      </c>
      <c r="D64" s="4"/>
      <c r="E64" s="4"/>
      <c r="F64" s="4"/>
      <c r="G64" s="43" t="s">
        <v>207</v>
      </c>
      <c r="H64" s="43" t="s">
        <v>66</v>
      </c>
      <c r="I64" s="65" t="s">
        <v>206</v>
      </c>
      <c r="J64" s="44" t="s">
        <v>208</v>
      </c>
      <c r="K64" s="4"/>
    </row>
    <row r="65" customFormat="false" ht="15.75" hidden="false" customHeight="false" outlineLevel="0" collapsed="false">
      <c r="A65" s="43" t="s">
        <v>209</v>
      </c>
      <c r="B65" s="43" t="s">
        <v>66</v>
      </c>
      <c r="C65" s="65" t="s">
        <v>210</v>
      </c>
      <c r="D65" s="4"/>
      <c r="E65" s="4"/>
      <c r="F65" s="4"/>
      <c r="G65" s="43" t="s">
        <v>211</v>
      </c>
      <c r="H65" s="43" t="s">
        <v>66</v>
      </c>
      <c r="I65" s="65" t="s">
        <v>210</v>
      </c>
      <c r="J65" s="44" t="s">
        <v>212</v>
      </c>
      <c r="K65" s="4"/>
    </row>
    <row r="66" customFormat="false" ht="15.75" hidden="false" customHeight="false" outlineLevel="0" collapsed="false">
      <c r="A66" s="43" t="s">
        <v>213</v>
      </c>
      <c r="B66" s="43" t="s">
        <v>66</v>
      </c>
      <c r="C66" s="65" t="s">
        <v>214</v>
      </c>
      <c r="D66" s="4"/>
      <c r="E66" s="4"/>
      <c r="F66" s="4"/>
      <c r="G66" s="43" t="s">
        <v>215</v>
      </c>
      <c r="H66" s="43" t="s">
        <v>66</v>
      </c>
      <c r="I66" s="65" t="s">
        <v>214</v>
      </c>
      <c r="J66" s="44" t="s">
        <v>216</v>
      </c>
      <c r="K66" s="4"/>
    </row>
    <row r="67" customFormat="false" ht="15.75" hidden="false" customHeight="false" outlineLevel="0" collapsed="false">
      <c r="A67" s="43" t="s">
        <v>217</v>
      </c>
      <c r="B67" s="43" t="s">
        <v>66</v>
      </c>
      <c r="C67" s="65"/>
      <c r="D67" s="4"/>
      <c r="E67" s="4"/>
      <c r="F67" s="4"/>
      <c r="G67" s="43" t="s">
        <v>218</v>
      </c>
      <c r="H67" s="43" t="s">
        <v>66</v>
      </c>
      <c r="I67" s="65"/>
      <c r="J67" s="44" t="s">
        <v>219</v>
      </c>
      <c r="K67" s="4"/>
    </row>
    <row r="68" customFormat="false" ht="15.75" hidden="false" customHeight="false" outlineLevel="0" collapsed="false">
      <c r="A68" s="43" t="s">
        <v>220</v>
      </c>
      <c r="B68" s="43" t="s">
        <v>50</v>
      </c>
      <c r="C68" s="65"/>
      <c r="D68" s="4"/>
      <c r="E68" s="4"/>
      <c r="F68" s="4"/>
      <c r="G68" s="43" t="s">
        <v>221</v>
      </c>
      <c r="H68" s="43" t="s">
        <v>50</v>
      </c>
      <c r="I68" s="65"/>
      <c r="J68" s="44" t="s">
        <v>222</v>
      </c>
      <c r="K68" s="4"/>
    </row>
    <row r="69" customFormat="false" ht="15.75" hidden="false" customHeight="false" outlineLevel="0" collapsed="false">
      <c r="A69" s="43" t="s">
        <v>223</v>
      </c>
      <c r="B69" s="43" t="s">
        <v>6</v>
      </c>
      <c r="C69" s="65" t="s">
        <v>224</v>
      </c>
      <c r="D69" s="4"/>
      <c r="E69" s="4"/>
      <c r="F69" s="4"/>
      <c r="G69" s="43" t="s">
        <v>225</v>
      </c>
      <c r="H69" s="43" t="s">
        <v>6</v>
      </c>
      <c r="I69" s="65" t="s">
        <v>224</v>
      </c>
      <c r="J69" s="44" t="s">
        <v>226</v>
      </c>
      <c r="K69" s="4"/>
    </row>
    <row r="70" customFormat="false" ht="15.75" hidden="false" customHeight="false" outlineLevel="0" collapsed="false">
      <c r="A70" s="43" t="s">
        <v>227</v>
      </c>
      <c r="B70" s="43" t="s">
        <v>66</v>
      </c>
      <c r="C70" s="65" t="s">
        <v>228</v>
      </c>
      <c r="D70" s="4"/>
      <c r="E70" s="4"/>
      <c r="F70" s="4"/>
      <c r="G70" s="43" t="s">
        <v>229</v>
      </c>
      <c r="H70" s="43" t="s">
        <v>66</v>
      </c>
      <c r="I70" s="65" t="s">
        <v>228</v>
      </c>
      <c r="J70" s="44" t="s">
        <v>230</v>
      </c>
      <c r="K70" s="4"/>
    </row>
    <row r="71" customFormat="false" ht="15.75" hidden="false" customHeight="false" outlineLevel="0" collapsed="false">
      <c r="A71" s="43" t="s">
        <v>231</v>
      </c>
      <c r="B71" s="43" t="s">
        <v>66</v>
      </c>
      <c r="C71" s="65" t="s">
        <v>232</v>
      </c>
      <c r="D71" s="4"/>
      <c r="E71" s="4"/>
      <c r="F71" s="4"/>
      <c r="G71" s="43" t="s">
        <v>233</v>
      </c>
      <c r="H71" s="43" t="s">
        <v>66</v>
      </c>
      <c r="I71" s="65" t="s">
        <v>232</v>
      </c>
      <c r="J71" s="44" t="s">
        <v>234</v>
      </c>
      <c r="K71" s="4"/>
    </row>
    <row r="72" customFormat="false" ht="23.85" hidden="false" customHeight="false" outlineLevel="0" collapsed="false">
      <c r="A72" s="43" t="s">
        <v>235</v>
      </c>
      <c r="B72" s="43" t="s">
        <v>6</v>
      </c>
      <c r="C72" s="65" t="s">
        <v>236</v>
      </c>
      <c r="D72" s="4"/>
      <c r="E72" s="4"/>
      <c r="F72" s="4"/>
      <c r="G72" s="43" t="s">
        <v>237</v>
      </c>
      <c r="H72" s="43" t="s">
        <v>6</v>
      </c>
      <c r="I72" s="65" t="s">
        <v>236</v>
      </c>
      <c r="J72" s="44" t="s">
        <v>238</v>
      </c>
      <c r="K72" s="4"/>
    </row>
    <row r="73" customFormat="false" ht="15.75" hidden="false" customHeight="false" outlineLevel="0" collapsed="false">
      <c r="A73" s="43" t="s">
        <v>239</v>
      </c>
      <c r="B73" s="43" t="s">
        <v>66</v>
      </c>
      <c r="C73" s="65" t="s">
        <v>206</v>
      </c>
      <c r="D73" s="4"/>
      <c r="E73" s="4"/>
      <c r="F73" s="4"/>
      <c r="G73" s="43" t="s">
        <v>240</v>
      </c>
      <c r="H73" s="43" t="s">
        <v>66</v>
      </c>
      <c r="I73" s="65" t="s">
        <v>206</v>
      </c>
      <c r="J73" s="44" t="s">
        <v>241</v>
      </c>
      <c r="K73" s="4"/>
    </row>
    <row r="74" customFormat="false" ht="15.75" hidden="false" customHeight="false" outlineLevel="0" collapsed="false">
      <c r="A74" s="43" t="s">
        <v>242</v>
      </c>
      <c r="B74" s="43" t="s">
        <v>66</v>
      </c>
      <c r="C74" s="65" t="n">
        <v>9999</v>
      </c>
      <c r="D74" s="4"/>
      <c r="E74" s="4"/>
      <c r="F74" s="4"/>
      <c r="G74" s="43" t="s">
        <v>243</v>
      </c>
      <c r="H74" s="43" t="s">
        <v>66</v>
      </c>
      <c r="I74" s="65" t="n">
        <v>9999</v>
      </c>
      <c r="J74" s="44" t="s">
        <v>244</v>
      </c>
      <c r="K74" s="4"/>
    </row>
    <row r="75" customFormat="false" ht="15.75" hidden="false" customHeight="false" outlineLevel="0" collapsed="false">
      <c r="A75" s="43" t="s">
        <v>245</v>
      </c>
      <c r="B75" s="43" t="s">
        <v>66</v>
      </c>
      <c r="C75" s="65" t="n">
        <v>45802</v>
      </c>
      <c r="D75" s="4"/>
      <c r="E75" s="4"/>
      <c r="F75" s="4"/>
      <c r="G75" s="43" t="s">
        <v>246</v>
      </c>
      <c r="H75" s="43" t="s">
        <v>66</v>
      </c>
      <c r="I75" s="65" t="n">
        <v>45802</v>
      </c>
      <c r="J75" s="44" t="s">
        <v>247</v>
      </c>
      <c r="K75" s="4"/>
    </row>
    <row r="76" customFormat="false" ht="15.75" hidden="false" customHeight="false" outlineLevel="0" collapsed="false">
      <c r="A76" s="43" t="s">
        <v>248</v>
      </c>
      <c r="B76" s="43" t="s">
        <v>66</v>
      </c>
      <c r="C76" s="65" t="s">
        <v>249</v>
      </c>
      <c r="D76" s="4"/>
      <c r="E76" s="4"/>
      <c r="F76" s="4"/>
      <c r="G76" s="43" t="s">
        <v>250</v>
      </c>
      <c r="H76" s="43" t="s">
        <v>66</v>
      </c>
      <c r="I76" s="65" t="s">
        <v>249</v>
      </c>
      <c r="J76" s="44" t="s">
        <v>251</v>
      </c>
      <c r="K76" s="4"/>
    </row>
    <row r="77" customFormat="false" ht="15.75" hidden="false" customHeight="false" outlineLevel="0" collapsed="false">
      <c r="A77" s="43" t="s">
        <v>252</v>
      </c>
      <c r="B77" s="43" t="s">
        <v>66</v>
      </c>
      <c r="C77" s="65"/>
      <c r="D77" s="4"/>
      <c r="E77" s="4"/>
      <c r="F77" s="4"/>
      <c r="G77" s="43" t="s">
        <v>253</v>
      </c>
      <c r="H77" s="43" t="s">
        <v>66</v>
      </c>
      <c r="I77" s="65"/>
      <c r="J77" s="44" t="s">
        <v>254</v>
      </c>
      <c r="K77" s="4"/>
    </row>
    <row r="78" customFormat="false" ht="15.75" hidden="false" customHeight="false" outlineLevel="0" collapsed="false">
      <c r="A78" s="43" t="s">
        <v>255</v>
      </c>
      <c r="B78" s="43" t="s">
        <v>66</v>
      </c>
      <c r="C78" s="65" t="n">
        <v>45878</v>
      </c>
      <c r="D78" s="4"/>
      <c r="E78" s="4"/>
      <c r="F78" s="4"/>
      <c r="G78" s="43" t="s">
        <v>256</v>
      </c>
      <c r="H78" s="43" t="s">
        <v>66</v>
      </c>
      <c r="I78" s="65" t="n">
        <v>45878</v>
      </c>
      <c r="J78" s="44" t="s">
        <v>257</v>
      </c>
      <c r="K78" s="4"/>
    </row>
    <row r="79" customFormat="false" ht="23.85" hidden="false" customHeight="false" outlineLevel="0" collapsed="false">
      <c r="A79" s="43" t="s">
        <v>258</v>
      </c>
      <c r="B79" s="43"/>
      <c r="C79" s="65"/>
      <c r="D79" s="22" t="s">
        <v>35</v>
      </c>
      <c r="E79" s="65" t="s">
        <v>259</v>
      </c>
      <c r="F79" s="22" t="s">
        <v>35</v>
      </c>
      <c r="G79" s="22"/>
      <c r="H79" s="22"/>
      <c r="I79" s="22"/>
      <c r="J79" s="66"/>
      <c r="K79" s="4"/>
    </row>
    <row r="80" customFormat="false" ht="15.7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3"/>
      <c r="K80" s="4"/>
    </row>
  </sheetData>
  <mergeCells count="3">
    <mergeCell ref="E9:E12"/>
    <mergeCell ref="E17:E21"/>
    <mergeCell ref="E24:E2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" sqref="A14 B3:E13 B18:E31 A32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6.5"/>
  </cols>
  <sheetData>
    <row r="1" customFormat="false" ht="15.75" hidden="false" customHeight="false" outlineLevel="0" collapsed="false">
      <c r="A1" s="67" t="s">
        <v>260</v>
      </c>
      <c r="B1" s="68" t="s">
        <v>1</v>
      </c>
      <c r="C1" s="68" t="s">
        <v>4</v>
      </c>
      <c r="D1" s="68" t="s">
        <v>2</v>
      </c>
    </row>
    <row r="2" customFormat="false" ht="15.75" hidden="false" customHeight="false" outlineLevel="0" collapsed="false">
      <c r="A2" s="69" t="s">
        <v>91</v>
      </c>
      <c r="B2" s="69" t="s">
        <v>50</v>
      </c>
      <c r="C2" s="69" t="s">
        <v>261</v>
      </c>
      <c r="D2" s="69" t="n">
        <v>2023</v>
      </c>
    </row>
    <row r="3" customFormat="false" ht="15.75" hidden="false" customHeight="false" outlineLevel="0" collapsed="false">
      <c r="A3" s="69" t="s">
        <v>95</v>
      </c>
      <c r="B3" s="69" t="s">
        <v>50</v>
      </c>
      <c r="C3" s="69" t="s">
        <v>262</v>
      </c>
      <c r="D3" s="69" t="n">
        <v>8</v>
      </c>
    </row>
    <row r="4" customFormat="false" ht="15.75" hidden="false" customHeight="false" outlineLevel="0" collapsed="false">
      <c r="A4" s="70" t="s">
        <v>96</v>
      </c>
      <c r="B4" s="70" t="s">
        <v>263</v>
      </c>
      <c r="C4" s="70" t="s">
        <v>264</v>
      </c>
      <c r="D4" s="70" t="s">
        <v>97</v>
      </c>
    </row>
    <row r="5" customFormat="false" ht="15.75" hidden="false" customHeight="false" outlineLevel="0" collapsed="false">
      <c r="A5" s="70" t="s">
        <v>100</v>
      </c>
      <c r="B5" s="70" t="s">
        <v>265</v>
      </c>
      <c r="C5" s="70" t="s">
        <v>266</v>
      </c>
      <c r="D5" s="70" t="s">
        <v>105</v>
      </c>
    </row>
    <row r="6" customFormat="false" ht="15.75" hidden="false" customHeight="false" outlineLevel="0" collapsed="false">
      <c r="A6" s="71" t="s">
        <v>104</v>
      </c>
      <c r="B6" s="71" t="s">
        <v>263</v>
      </c>
      <c r="C6" s="71" t="s">
        <v>107</v>
      </c>
      <c r="D6" s="71" t="s">
        <v>101</v>
      </c>
    </row>
    <row r="7" customFormat="false" ht="15.75" hidden="false" customHeight="false" outlineLevel="0" collapsed="false">
      <c r="A7" s="72" t="s">
        <v>108</v>
      </c>
      <c r="B7" s="72" t="s">
        <v>265</v>
      </c>
      <c r="C7" s="72" t="s">
        <v>9</v>
      </c>
      <c r="D7" s="72" t="s">
        <v>109</v>
      </c>
    </row>
    <row r="8" customFormat="false" ht="15.75" hidden="false" customHeight="false" outlineLevel="0" collapsed="false">
      <c r="A8" s="73" t="s">
        <v>267</v>
      </c>
      <c r="B8" s="73" t="s">
        <v>66</v>
      </c>
      <c r="C8" s="73" t="s">
        <v>268</v>
      </c>
      <c r="D8" s="73" t="s">
        <v>269</v>
      </c>
    </row>
    <row r="9" customFormat="false" ht="15.75" hidden="false" customHeight="false" outlineLevel="0" collapsed="false">
      <c r="A9" s="73" t="s">
        <v>270</v>
      </c>
      <c r="B9" s="73" t="s">
        <v>66</v>
      </c>
      <c r="C9" s="73" t="s">
        <v>271</v>
      </c>
      <c r="D9" s="73" t="s">
        <v>272</v>
      </c>
    </row>
    <row r="10" customFormat="false" ht="15.75" hidden="false" customHeight="false" outlineLevel="0" collapsed="false">
      <c r="A10" s="73" t="s">
        <v>273</v>
      </c>
      <c r="B10" s="73" t="s">
        <v>66</v>
      </c>
      <c r="C10" s="73" t="s">
        <v>274</v>
      </c>
      <c r="D10" s="73" t="s">
        <v>275</v>
      </c>
    </row>
    <row r="11" customFormat="false" ht="15.75" hidden="false" customHeight="false" outlineLevel="0" collapsed="false">
      <c r="A11" s="73" t="s">
        <v>276</v>
      </c>
      <c r="B11" s="73" t="s">
        <v>66</v>
      </c>
      <c r="C11" s="73" t="s">
        <v>277</v>
      </c>
      <c r="D11" s="73" t="s">
        <v>278</v>
      </c>
    </row>
    <row r="12" customFormat="false" ht="15.75" hidden="false" customHeight="false" outlineLevel="0" collapsed="false">
      <c r="A12" s="73" t="s">
        <v>279</v>
      </c>
      <c r="B12" s="73" t="s">
        <v>66</v>
      </c>
      <c r="C12" s="73" t="s">
        <v>280</v>
      </c>
      <c r="D12" s="73" t="s">
        <v>281</v>
      </c>
    </row>
    <row r="13" customFormat="false" ht="15.75" hidden="false" customHeight="false" outlineLevel="0" collapsed="false">
      <c r="A13" s="74" t="s">
        <v>110</v>
      </c>
      <c r="B13" s="74" t="s">
        <v>50</v>
      </c>
      <c r="C13" s="74" t="s">
        <v>282</v>
      </c>
      <c r="D13" s="74" t="s">
        <v>283</v>
      </c>
    </row>
    <row r="14" customFormat="false" ht="15.75" hidden="false" customHeight="false" outlineLevel="0" collapsed="false">
      <c r="A14" s="74" t="s">
        <v>114</v>
      </c>
      <c r="B14" s="74" t="s">
        <v>50</v>
      </c>
      <c r="C14" s="74" t="s">
        <v>284</v>
      </c>
      <c r="D14" s="74" t="s">
        <v>285</v>
      </c>
    </row>
    <row r="15" customFormat="false" ht="15.75" hidden="false" customHeight="false" outlineLevel="0" collapsed="false">
      <c r="A15" s="74" t="s">
        <v>122</v>
      </c>
      <c r="B15" s="74" t="s">
        <v>50</v>
      </c>
      <c r="C15" s="74" t="s">
        <v>286</v>
      </c>
      <c r="D15" s="74" t="s">
        <v>287</v>
      </c>
    </row>
    <row r="16" customFormat="false" ht="15.75" hidden="false" customHeight="false" outlineLevel="0" collapsed="false">
      <c r="A16" s="74" t="s">
        <v>118</v>
      </c>
      <c r="B16" s="74" t="s">
        <v>50</v>
      </c>
      <c r="C16" s="74" t="s">
        <v>288</v>
      </c>
      <c r="D16" s="74" t="s">
        <v>289</v>
      </c>
    </row>
    <row r="17" customFormat="false" ht="15.75" hidden="false" customHeight="false" outlineLevel="0" collapsed="false">
      <c r="A17" s="74" t="s">
        <v>146</v>
      </c>
      <c r="B17" s="74" t="s">
        <v>66</v>
      </c>
      <c r="C17" s="74" t="s">
        <v>290</v>
      </c>
      <c r="D17" s="74" t="s">
        <v>291</v>
      </c>
    </row>
    <row r="18" customFormat="false" ht="15.75" hidden="false" customHeight="false" outlineLevel="0" collapsed="false">
      <c r="A18" s="74" t="s">
        <v>134</v>
      </c>
      <c r="B18" s="74" t="s">
        <v>66</v>
      </c>
      <c r="C18" s="74" t="s">
        <v>292</v>
      </c>
      <c r="D18" s="74" t="s">
        <v>293</v>
      </c>
    </row>
    <row r="19" customFormat="false" ht="15.75" hidden="false" customHeight="false" outlineLevel="0" collapsed="false">
      <c r="A19" s="74" t="s">
        <v>126</v>
      </c>
      <c r="B19" s="74" t="s">
        <v>66</v>
      </c>
      <c r="C19" s="74" t="s">
        <v>294</v>
      </c>
      <c r="D19" s="74" t="s">
        <v>295</v>
      </c>
    </row>
    <row r="20" customFormat="false" ht="15.75" hidden="false" customHeight="false" outlineLevel="0" collapsed="false">
      <c r="A20" s="74" t="s">
        <v>130</v>
      </c>
      <c r="B20" s="74" t="s">
        <v>66</v>
      </c>
      <c r="C20" s="74" t="s">
        <v>296</v>
      </c>
      <c r="D20" s="74" t="s">
        <v>297</v>
      </c>
    </row>
    <row r="21" customFormat="false" ht="15.75" hidden="false" customHeight="false" outlineLevel="0" collapsed="false">
      <c r="A21" s="74" t="s">
        <v>142</v>
      </c>
      <c r="B21" s="74" t="s">
        <v>66</v>
      </c>
      <c r="C21" s="74" t="s">
        <v>298</v>
      </c>
      <c r="D21" s="74" t="s">
        <v>278</v>
      </c>
    </row>
    <row r="22" customFormat="false" ht="15.75" hidden="false" customHeight="false" outlineLevel="0" collapsed="false">
      <c r="A22" s="74" t="s">
        <v>138</v>
      </c>
      <c r="B22" s="74" t="s">
        <v>66</v>
      </c>
      <c r="C22" s="74" t="s">
        <v>299</v>
      </c>
      <c r="D22" s="74" t="s">
        <v>300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2" activeCellId="3" sqref="A14 B3:E13 B18:E31 A3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6.5"/>
    <col collapsed="false" customWidth="true" hidden="false" outlineLevel="0" max="2" min="2" style="0" width="17.63"/>
    <col collapsed="false" customWidth="true" hidden="false" outlineLevel="0" max="3" min="3" style="0" width="53"/>
    <col collapsed="false" customWidth="true" hidden="false" outlineLevel="0" max="4" min="4" style="0" width="10.25"/>
    <col collapsed="false" customWidth="true" hidden="false" outlineLevel="0" max="5" min="5" style="0" width="6.12"/>
    <col collapsed="false" customWidth="true" hidden="false" outlineLevel="0" max="6" min="6" style="0" width="25"/>
  </cols>
  <sheetData>
    <row r="1" customFormat="false" ht="15.75" hidden="false" customHeight="false" outlineLevel="0" collapsed="false">
      <c r="A1" s="75" t="s">
        <v>301</v>
      </c>
      <c r="B1" s="75"/>
      <c r="C1" s="75"/>
      <c r="D1" s="75"/>
      <c r="E1" s="75"/>
      <c r="F1" s="3"/>
    </row>
    <row r="2" customFormat="false" ht="15.75" hidden="false" customHeight="false" outlineLevel="0" collapsed="false">
      <c r="A2" s="76" t="s">
        <v>302</v>
      </c>
      <c r="B2" s="76" t="s">
        <v>1</v>
      </c>
      <c r="C2" s="76" t="s">
        <v>4</v>
      </c>
      <c r="D2" s="76" t="s">
        <v>2</v>
      </c>
      <c r="E2" s="76" t="s">
        <v>303</v>
      </c>
      <c r="F2" s="3"/>
    </row>
    <row r="3" customFormat="false" ht="15.75" hidden="false" customHeight="false" outlineLevel="0" collapsed="false">
      <c r="A3" s="77" t="s">
        <v>304</v>
      </c>
      <c r="B3" s="78" t="s">
        <v>305</v>
      </c>
      <c r="C3" s="79" t="s">
        <v>306</v>
      </c>
      <c r="D3" s="80"/>
      <c r="E3" s="81" t="n">
        <v>0</v>
      </c>
      <c r="F3" s="3"/>
    </row>
    <row r="4" customFormat="false" ht="15.75" hidden="false" customHeight="false" outlineLevel="0" collapsed="false">
      <c r="A4" s="77" t="s">
        <v>307</v>
      </c>
      <c r="B4" s="78" t="s">
        <v>308</v>
      </c>
      <c r="C4" s="79" t="s">
        <v>309</v>
      </c>
      <c r="D4" s="80"/>
      <c r="E4" s="81" t="n">
        <v>3</v>
      </c>
      <c r="F4" s="82" t="s">
        <v>310</v>
      </c>
    </row>
    <row r="5" customFormat="false" ht="15.75" hidden="false" customHeight="false" outlineLevel="0" collapsed="false">
      <c r="A5" s="76" t="s">
        <v>311</v>
      </c>
      <c r="B5" s="78" t="s">
        <v>305</v>
      </c>
      <c r="C5" s="79" t="s">
        <v>312</v>
      </c>
      <c r="D5" s="80"/>
      <c r="E5" s="81" t="n">
        <v>1</v>
      </c>
      <c r="F5" s="3"/>
    </row>
    <row r="6" customFormat="false" ht="15.75" hidden="false" customHeight="false" outlineLevel="0" collapsed="false">
      <c r="A6" s="76" t="s">
        <v>313</v>
      </c>
      <c r="B6" s="78" t="s">
        <v>305</v>
      </c>
      <c r="C6" s="79" t="s">
        <v>314</v>
      </c>
      <c r="D6" s="80"/>
      <c r="E6" s="81" t="n">
        <v>2</v>
      </c>
      <c r="F6" s="3"/>
    </row>
    <row r="7" customFormat="false" ht="15.75" hidden="false" customHeight="false" outlineLevel="0" collapsed="false">
      <c r="A7" s="76" t="s">
        <v>315</v>
      </c>
      <c r="B7" s="78" t="s">
        <v>316</v>
      </c>
      <c r="C7" s="79" t="s">
        <v>317</v>
      </c>
      <c r="D7" s="80"/>
      <c r="E7" s="81" t="n">
        <v>5</v>
      </c>
      <c r="F7" s="3"/>
    </row>
    <row r="8" customFormat="false" ht="15.75" hidden="false" customHeight="false" outlineLevel="0" collapsed="false">
      <c r="A8" s="76" t="s">
        <v>318</v>
      </c>
      <c r="B8" s="78" t="s">
        <v>316</v>
      </c>
      <c r="C8" s="79" t="s">
        <v>319</v>
      </c>
      <c r="D8" s="80"/>
      <c r="E8" s="81" t="n">
        <v>6</v>
      </c>
      <c r="F8" s="3"/>
    </row>
    <row r="9" customFormat="false" ht="15.75" hidden="false" customHeight="false" outlineLevel="0" collapsed="false">
      <c r="A9" s="76" t="s">
        <v>320</v>
      </c>
      <c r="B9" s="78" t="s">
        <v>316</v>
      </c>
      <c r="C9" s="79" t="s">
        <v>321</v>
      </c>
      <c r="D9" s="80"/>
      <c r="E9" s="81" t="n">
        <v>7</v>
      </c>
      <c r="F9" s="3"/>
    </row>
    <row r="10" customFormat="false" ht="15.75" hidden="false" customHeight="false" outlineLevel="0" collapsed="false">
      <c r="A10" s="76" t="s">
        <v>322</v>
      </c>
      <c r="B10" s="78" t="s">
        <v>323</v>
      </c>
      <c r="C10" s="79" t="s">
        <v>324</v>
      </c>
      <c r="D10" s="80"/>
      <c r="E10" s="81" t="n">
        <v>8</v>
      </c>
      <c r="F10" s="3"/>
    </row>
    <row r="11" customFormat="false" ht="15.75" hidden="false" customHeight="false" outlineLevel="0" collapsed="false">
      <c r="A11" s="76" t="s">
        <v>325</v>
      </c>
      <c r="B11" s="78" t="s">
        <v>316</v>
      </c>
      <c r="C11" s="79" t="s">
        <v>326</v>
      </c>
      <c r="D11" s="80"/>
      <c r="E11" s="81" t="n">
        <v>9</v>
      </c>
      <c r="F11" s="3"/>
    </row>
    <row r="12" customFormat="false" ht="15.75" hidden="false" customHeight="false" outlineLevel="0" collapsed="false">
      <c r="A12" s="76" t="s">
        <v>327</v>
      </c>
      <c r="B12" s="78" t="s">
        <v>316</v>
      </c>
      <c r="C12" s="79" t="s">
        <v>328</v>
      </c>
      <c r="D12" s="80"/>
      <c r="E12" s="81" t="n">
        <v>10</v>
      </c>
      <c r="F12" s="3"/>
    </row>
    <row r="13" customFormat="false" ht="15.75" hidden="false" customHeight="false" outlineLevel="0" collapsed="false">
      <c r="A13" s="76" t="s">
        <v>329</v>
      </c>
      <c r="B13" s="78" t="s">
        <v>316</v>
      </c>
      <c r="C13" s="79" t="s">
        <v>330</v>
      </c>
      <c r="D13" s="80"/>
      <c r="E13" s="81" t="n">
        <v>13</v>
      </c>
      <c r="F13" s="3"/>
    </row>
    <row r="14" customFormat="false" ht="15.75" hidden="false" customHeight="false" outlineLevel="0" collapsed="false">
      <c r="A14" s="83" t="s">
        <v>331</v>
      </c>
      <c r="B14" s="83"/>
      <c r="C14" s="83"/>
      <c r="D14" s="83"/>
      <c r="E14" s="83"/>
      <c r="F14" s="3"/>
    </row>
    <row r="15" customFormat="false" ht="15.75" hidden="false" customHeight="false" outlineLevel="0" collapsed="false">
      <c r="A15" s="3"/>
      <c r="B15" s="3"/>
      <c r="C15" s="3"/>
      <c r="E15" s="84"/>
      <c r="F15" s="3"/>
    </row>
    <row r="16" customFormat="false" ht="15.75" hidden="false" customHeight="false" outlineLevel="0" collapsed="false">
      <c r="A16" s="75" t="s">
        <v>332</v>
      </c>
      <c r="B16" s="75"/>
      <c r="C16" s="75"/>
      <c r="D16" s="75"/>
      <c r="E16" s="75"/>
      <c r="F16" s="3"/>
    </row>
    <row r="17" customFormat="false" ht="15.75" hidden="false" customHeight="false" outlineLevel="0" collapsed="false">
      <c r="A17" s="76" t="s">
        <v>333</v>
      </c>
      <c r="B17" s="76" t="s">
        <v>1</v>
      </c>
      <c r="C17" s="76" t="s">
        <v>4</v>
      </c>
      <c r="D17" s="76" t="s">
        <v>2</v>
      </c>
      <c r="E17" s="76" t="s">
        <v>334</v>
      </c>
      <c r="F17" s="3"/>
    </row>
    <row r="18" customFormat="false" ht="15.75" hidden="false" customHeight="false" outlineLevel="0" collapsed="false">
      <c r="A18" s="85" t="s">
        <v>197</v>
      </c>
      <c r="B18" s="86" t="s">
        <v>66</v>
      </c>
      <c r="C18" s="86" t="s">
        <v>335</v>
      </c>
      <c r="D18" s="81" t="s">
        <v>336</v>
      </c>
      <c r="E18" s="80"/>
      <c r="F18" s="3"/>
    </row>
    <row r="19" customFormat="false" ht="15.75" hidden="false" customHeight="false" outlineLevel="0" collapsed="false">
      <c r="A19" s="85" t="s">
        <v>200</v>
      </c>
      <c r="B19" s="86" t="s">
        <v>66</v>
      </c>
      <c r="C19" s="86" t="s">
        <v>337</v>
      </c>
      <c r="D19" s="81" t="s">
        <v>338</v>
      </c>
      <c r="E19" s="80"/>
      <c r="F19" s="3"/>
    </row>
    <row r="20" customFormat="false" ht="15.75" hidden="false" customHeight="false" outlineLevel="0" collapsed="false">
      <c r="A20" s="85" t="s">
        <v>339</v>
      </c>
      <c r="B20" s="86" t="s">
        <v>340</v>
      </c>
      <c r="C20" s="86" t="s">
        <v>341</v>
      </c>
      <c r="D20" s="81" t="n">
        <v>1684929490</v>
      </c>
      <c r="E20" s="86" t="s">
        <v>342</v>
      </c>
      <c r="F20" s="82" t="s">
        <v>310</v>
      </c>
    </row>
    <row r="21" customFormat="false" ht="15.75" hidden="false" customHeight="false" outlineLevel="0" collapsed="false">
      <c r="A21" s="87" t="s">
        <v>343</v>
      </c>
      <c r="B21" s="86" t="s">
        <v>344</v>
      </c>
      <c r="C21" s="86" t="s">
        <v>345</v>
      </c>
      <c r="D21" s="81" t="s">
        <v>346</v>
      </c>
      <c r="E21" s="86" t="s">
        <v>342</v>
      </c>
      <c r="F21" s="82" t="s">
        <v>347</v>
      </c>
    </row>
    <row r="22" customFormat="false" ht="15.75" hidden="false" customHeight="false" outlineLevel="0" collapsed="false">
      <c r="A22" s="87" t="s">
        <v>348</v>
      </c>
      <c r="B22" s="86" t="s">
        <v>349</v>
      </c>
      <c r="C22" s="86" t="s">
        <v>350</v>
      </c>
      <c r="D22" s="81" t="n">
        <v>89</v>
      </c>
      <c r="E22" s="86" t="s">
        <v>342</v>
      </c>
      <c r="F22" s="3"/>
    </row>
    <row r="23" customFormat="false" ht="15.75" hidden="false" customHeight="false" outlineLevel="0" collapsed="false">
      <c r="A23" s="87" t="s">
        <v>351</v>
      </c>
      <c r="B23" s="86" t="s">
        <v>349</v>
      </c>
      <c r="C23" s="86" t="s">
        <v>352</v>
      </c>
      <c r="D23" s="81" t="n">
        <v>53</v>
      </c>
      <c r="E23" s="86" t="s">
        <v>342</v>
      </c>
      <c r="F23" s="3"/>
    </row>
    <row r="24" customFormat="false" ht="15.75" hidden="false" customHeight="false" outlineLevel="0" collapsed="false">
      <c r="A24" s="87" t="s">
        <v>353</v>
      </c>
      <c r="B24" s="86" t="s">
        <v>354</v>
      </c>
      <c r="C24" s="86" t="s">
        <v>355</v>
      </c>
      <c r="D24" s="81" t="n">
        <v>10000</v>
      </c>
      <c r="E24" s="86" t="s">
        <v>342</v>
      </c>
      <c r="F24" s="3"/>
    </row>
    <row r="25" customFormat="false" ht="15.75" hidden="false" customHeight="false" outlineLevel="0" collapsed="false">
      <c r="A25" s="87" t="s">
        <v>356</v>
      </c>
      <c r="B25" s="86" t="s">
        <v>357</v>
      </c>
      <c r="C25" s="86" t="s">
        <v>358</v>
      </c>
      <c r="D25" s="81" t="s">
        <v>359</v>
      </c>
      <c r="E25" s="86" t="s">
        <v>342</v>
      </c>
      <c r="F25" s="3"/>
    </row>
    <row r="26" customFormat="false" ht="15.75" hidden="false" customHeight="false" outlineLevel="0" collapsed="false">
      <c r="A26" s="87" t="s">
        <v>360</v>
      </c>
      <c r="B26" s="86" t="s">
        <v>361</v>
      </c>
      <c r="C26" s="86" t="s">
        <v>362</v>
      </c>
      <c r="D26" s="81" t="n">
        <v>93</v>
      </c>
      <c r="E26" s="86" t="s">
        <v>342</v>
      </c>
      <c r="F26" s="3"/>
    </row>
    <row r="27" customFormat="false" ht="15.75" hidden="false" customHeight="false" outlineLevel="0" collapsed="false">
      <c r="A27" s="87" t="s">
        <v>363</v>
      </c>
      <c r="B27" s="86" t="s">
        <v>357</v>
      </c>
      <c r="C27" s="86" t="s">
        <v>364</v>
      </c>
      <c r="D27" s="81" t="s">
        <v>365</v>
      </c>
      <c r="E27" s="86" t="s">
        <v>342</v>
      </c>
      <c r="F27" s="3"/>
    </row>
    <row r="28" customFormat="false" ht="15.75" hidden="false" customHeight="false" outlineLevel="0" collapsed="false">
      <c r="A28" s="87" t="s">
        <v>366</v>
      </c>
      <c r="B28" s="86" t="s">
        <v>367</v>
      </c>
      <c r="C28" s="86" t="s">
        <v>368</v>
      </c>
      <c r="D28" s="88" t="n">
        <v>45689</v>
      </c>
      <c r="E28" s="86" t="s">
        <v>342</v>
      </c>
      <c r="F28" s="3"/>
    </row>
    <row r="29" customFormat="false" ht="15.75" hidden="false" customHeight="false" outlineLevel="0" collapsed="false">
      <c r="A29" s="87" t="s">
        <v>369</v>
      </c>
      <c r="B29" s="86" t="s">
        <v>367</v>
      </c>
      <c r="C29" s="86" t="s">
        <v>370</v>
      </c>
      <c r="D29" s="81" t="s">
        <v>371</v>
      </c>
      <c r="E29" s="86" t="s">
        <v>342</v>
      </c>
      <c r="F29" s="3"/>
    </row>
    <row r="30" customFormat="false" ht="15.75" hidden="false" customHeight="false" outlineLevel="0" collapsed="false">
      <c r="A30" s="87" t="s">
        <v>372</v>
      </c>
      <c r="B30" s="86" t="s">
        <v>373</v>
      </c>
      <c r="C30" s="86" t="s">
        <v>374</v>
      </c>
      <c r="D30" s="81" t="s">
        <v>375</v>
      </c>
      <c r="E30" s="86" t="s">
        <v>342</v>
      </c>
      <c r="F30" s="3"/>
    </row>
    <row r="31" customFormat="false" ht="15.75" hidden="false" customHeight="false" outlineLevel="0" collapsed="false">
      <c r="A31" s="87" t="s">
        <v>376</v>
      </c>
      <c r="B31" s="86" t="s">
        <v>373</v>
      </c>
      <c r="C31" s="86" t="s">
        <v>377</v>
      </c>
      <c r="D31" s="81" t="s">
        <v>378</v>
      </c>
      <c r="E31" s="86" t="s">
        <v>342</v>
      </c>
      <c r="F31" s="3"/>
    </row>
    <row r="32" customFormat="false" ht="15.75" hidden="false" customHeight="false" outlineLevel="0" collapsed="false">
      <c r="A32" s="83" t="s">
        <v>379</v>
      </c>
      <c r="B32" s="83"/>
      <c r="C32" s="83"/>
      <c r="D32" s="83"/>
      <c r="E32" s="83"/>
      <c r="F32" s="3"/>
    </row>
    <row r="33" customFormat="false" ht="15.75" hidden="false" customHeight="false" outlineLevel="0" collapsed="false">
      <c r="A33" s="3"/>
      <c r="B33" s="3"/>
      <c r="C33" s="3"/>
      <c r="D33" s="3"/>
      <c r="E33" s="3"/>
      <c r="F33" s="3"/>
    </row>
  </sheetData>
  <mergeCells count="4">
    <mergeCell ref="A1:E1"/>
    <mergeCell ref="A14:E14"/>
    <mergeCell ref="A16:E16"/>
    <mergeCell ref="A32:E32"/>
  </mergeCells>
  <hyperlinks>
    <hyperlink ref="A14" r:id="rId2" display="https://openskynetwork.github.io/opensky-api/rest.html"/>
    <hyperlink ref="A32" r:id="rId3" display="https://openweathermap.org/api/one-call-3?utm_source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2025-12-30T11:11:19Z</dcterms:modified>
  <cp:revision>1</cp:revision>
  <dc:subject/>
  <dc:title/>
</cp:coreProperties>
</file>